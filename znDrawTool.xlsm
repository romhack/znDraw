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0" yWindow="120" windowWidth="27795" windowHeight="13095" activeTab="1"/>
  </bookViews>
  <sheets>
    <sheet name="decode" sheetId="6" r:id="rId1"/>
    <sheet name="encode" sheetId="8" r:id="rId2"/>
    <sheet name="LUT" sheetId="7" r:id="rId3"/>
  </sheets>
  <definedNames>
    <definedName name="dropVals">LUT!$H$2:$H$4</definedName>
  </definedNames>
  <calcPr calcId="125725"/>
</workbook>
</file>

<file path=xl/calcChain.xml><?xml version="1.0" encoding="utf-8"?>
<calcChain xmlns="http://schemas.openxmlformats.org/spreadsheetml/2006/main">
  <c r="H36" i="8"/>
  <c r="G3"/>
  <c r="G4"/>
  <c r="H4" s="1"/>
  <c r="G5"/>
  <c r="H5" s="1"/>
  <c r="G6"/>
  <c r="H6" s="1"/>
  <c r="G7"/>
  <c r="G8"/>
  <c r="G9"/>
  <c r="H9" s="1"/>
  <c r="G10"/>
  <c r="H10" s="1"/>
  <c r="G11"/>
  <c r="G12"/>
  <c r="G13"/>
  <c r="H13" s="1"/>
  <c r="G14"/>
  <c r="H14" s="1"/>
  <c r="G15"/>
  <c r="G16"/>
  <c r="G17"/>
  <c r="G18"/>
  <c r="H18" s="1"/>
  <c r="G19"/>
  <c r="G20"/>
  <c r="H20" s="1"/>
  <c r="G21"/>
  <c r="H21" s="1"/>
  <c r="G22"/>
  <c r="H22" s="1"/>
  <c r="G23"/>
  <c r="G24"/>
  <c r="G25"/>
  <c r="H25" s="1"/>
  <c r="G26"/>
  <c r="H26" s="1"/>
  <c r="G27"/>
  <c r="G28"/>
  <c r="G29"/>
  <c r="H29" s="1"/>
  <c r="G30"/>
  <c r="H30" s="1"/>
  <c r="G31"/>
  <c r="G32"/>
  <c r="G33"/>
  <c r="H33" s="1"/>
  <c r="G34"/>
  <c r="H34" s="1"/>
  <c r="G35"/>
  <c r="G36"/>
  <c r="G37"/>
  <c r="H37" s="1"/>
  <c r="G2"/>
  <c r="H2" s="1"/>
  <c r="E2"/>
  <c r="E3" s="1"/>
  <c r="E4" s="1"/>
  <c r="E5" s="1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D2"/>
  <c r="D3" s="1"/>
  <c r="D4" s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B19" i="6"/>
  <c r="C19"/>
  <c r="B18"/>
  <c r="C18"/>
  <c r="B17"/>
  <c r="C17"/>
  <c r="B16"/>
  <c r="C16"/>
  <c r="B15"/>
  <c r="C15"/>
  <c r="B14"/>
  <c r="C14"/>
  <c r="B13"/>
  <c r="C13"/>
  <c r="B12"/>
  <c r="C12"/>
  <c r="B11"/>
  <c r="C11"/>
  <c r="J3" i="8"/>
  <c r="J11"/>
  <c r="K4"/>
  <c r="K12"/>
  <c r="K2"/>
  <c r="E28" i="6"/>
  <c r="E32"/>
  <c r="E20"/>
  <c r="E31"/>
  <c r="J9" i="8"/>
  <c r="J17"/>
  <c r="K10"/>
  <c r="K18"/>
  <c r="E25" i="6"/>
  <c r="E29"/>
  <c r="E36"/>
  <c r="E24"/>
  <c r="J18" i="8"/>
  <c r="J7"/>
  <c r="J15"/>
  <c r="K16"/>
  <c r="E34" i="6"/>
  <c r="E22"/>
  <c r="E26"/>
  <c r="E21"/>
  <c r="E37"/>
  <c r="J10" i="8"/>
  <c r="J5"/>
  <c r="J13"/>
  <c r="K6"/>
  <c r="K14"/>
  <c r="J2"/>
  <c r="E27" i="6"/>
  <c r="E35"/>
  <c r="E30"/>
  <c r="E33"/>
  <c r="E23"/>
  <c r="H17" i="8" l="1"/>
  <c r="H32"/>
  <c r="H28"/>
  <c r="H24"/>
  <c r="H16"/>
  <c r="H12"/>
  <c r="H8"/>
  <c r="H35"/>
  <c r="H31"/>
  <c r="H27"/>
  <c r="H23"/>
  <c r="H19"/>
  <c r="H15"/>
  <c r="H11"/>
  <c r="H7"/>
  <c r="L10"/>
  <c r="L18"/>
  <c r="H3"/>
  <c r="L2"/>
  <c r="B3" i="6"/>
  <c r="C3"/>
  <c r="B4"/>
  <c r="C4"/>
  <c r="B5"/>
  <c r="C5"/>
  <c r="B6"/>
  <c r="C6"/>
  <c r="B7"/>
  <c r="C7"/>
  <c r="B8"/>
  <c r="C8"/>
  <c r="B9"/>
  <c r="C9"/>
  <c r="B10"/>
  <c r="C10"/>
  <c r="C2"/>
  <c r="B2"/>
  <c r="K8" i="8"/>
  <c r="J16"/>
  <c r="J6"/>
  <c r="J8"/>
  <c r="J12"/>
  <c r="J14"/>
  <c r="J4"/>
  <c r="K15"/>
  <c r="K3"/>
  <c r="E5" i="6"/>
  <c r="E18"/>
  <c r="E8"/>
  <c r="E19"/>
  <c r="K11" i="8"/>
  <c r="E17" i="6"/>
  <c r="K5" i="8"/>
  <c r="K9"/>
  <c r="E6" i="6"/>
  <c r="E16"/>
  <c r="E7"/>
  <c r="E3"/>
  <c r="E10"/>
  <c r="E9"/>
  <c r="K13" i="8"/>
  <c r="K17"/>
  <c r="E15" i="6"/>
  <c r="E11"/>
  <c r="E2"/>
  <c r="E13"/>
  <c r="E12"/>
  <c r="K7" i="8"/>
  <c r="E4" i="6"/>
  <c r="E14"/>
  <c r="L4" i="8" l="1"/>
  <c r="L14"/>
  <c r="L12"/>
  <c r="L8"/>
  <c r="L6"/>
  <c r="L16"/>
  <c r="L3"/>
  <c r="L9"/>
  <c r="L17"/>
  <c r="L7"/>
  <c r="L15"/>
  <c r="L5"/>
  <c r="L13"/>
  <c r="L11"/>
  <c r="F2" i="6"/>
  <c r="F3" s="1"/>
  <c r="I3" s="1"/>
  <c r="H2" l="1"/>
  <c r="K2" s="1"/>
  <c r="I2"/>
  <c r="F4"/>
  <c r="I4" s="1"/>
  <c r="H3"/>
  <c r="L2" l="1"/>
  <c r="L3" s="1"/>
  <c r="L4" s="1"/>
  <c r="K3"/>
  <c r="F5"/>
  <c r="I5" s="1"/>
  <c r="H4"/>
  <c r="L5" l="1"/>
  <c r="K4"/>
  <c r="F6"/>
  <c r="I6" s="1"/>
  <c r="H5"/>
  <c r="L6" l="1"/>
  <c r="K5"/>
  <c r="F7"/>
  <c r="I7" s="1"/>
  <c r="H6"/>
  <c r="K6" l="1"/>
  <c r="L7"/>
  <c r="F8"/>
  <c r="I8" s="1"/>
  <c r="H7"/>
  <c r="K7" l="1"/>
  <c r="L8"/>
  <c r="F9"/>
  <c r="I9" s="1"/>
  <c r="H8"/>
  <c r="K8" l="1"/>
  <c r="L9"/>
  <c r="F10"/>
  <c r="I10" s="1"/>
  <c r="H9"/>
  <c r="K9" l="1"/>
  <c r="L10"/>
  <c r="F11"/>
  <c r="I11" s="1"/>
  <c r="H10"/>
  <c r="K10" l="1"/>
  <c r="L11"/>
  <c r="F12"/>
  <c r="I12" s="1"/>
  <c r="H11"/>
  <c r="K11" l="1"/>
  <c r="L12"/>
  <c r="F13"/>
  <c r="I13" s="1"/>
  <c r="H12"/>
  <c r="K12" l="1"/>
  <c r="L13"/>
  <c r="F14"/>
  <c r="I14" s="1"/>
  <c r="H13"/>
  <c r="K13" l="1"/>
  <c r="L14"/>
  <c r="F15"/>
  <c r="I15" s="1"/>
  <c r="H14"/>
  <c r="K14" l="1"/>
  <c r="L15"/>
  <c r="F16"/>
  <c r="I16" s="1"/>
  <c r="H15"/>
  <c r="K15" l="1"/>
  <c r="L16"/>
  <c r="F17"/>
  <c r="I17" s="1"/>
  <c r="H16"/>
  <c r="K16" l="1"/>
  <c r="L17"/>
  <c r="F18"/>
  <c r="I18" s="1"/>
  <c r="H17"/>
  <c r="K17" l="1"/>
  <c r="L18"/>
  <c r="F19"/>
  <c r="I19" s="1"/>
  <c r="H18"/>
  <c r="K18" l="1"/>
  <c r="L19"/>
  <c r="F20"/>
  <c r="I20" s="1"/>
  <c r="H19"/>
  <c r="K19" l="1"/>
  <c r="L20"/>
  <c r="F21"/>
  <c r="I21" s="1"/>
  <c r="H20"/>
  <c r="K20" l="1"/>
  <c r="L21"/>
  <c r="F22"/>
  <c r="I22" s="1"/>
  <c r="H21"/>
  <c r="K21" l="1"/>
  <c r="L22"/>
  <c r="F23"/>
  <c r="I23" s="1"/>
  <c r="H22"/>
  <c r="K22" l="1"/>
  <c r="L23"/>
  <c r="F24"/>
  <c r="I24" s="1"/>
  <c r="H23"/>
  <c r="K23" l="1"/>
  <c r="L24"/>
  <c r="F25"/>
  <c r="I25" s="1"/>
  <c r="H24"/>
  <c r="K24" l="1"/>
  <c r="L25"/>
  <c r="F26"/>
  <c r="I26" s="1"/>
  <c r="H25"/>
  <c r="K25" l="1"/>
  <c r="L26"/>
  <c r="F27"/>
  <c r="I27" s="1"/>
  <c r="H26"/>
  <c r="K26" l="1"/>
  <c r="L27"/>
  <c r="F28"/>
  <c r="I28" s="1"/>
  <c r="H27"/>
  <c r="K27" l="1"/>
  <c r="L28"/>
  <c r="F29"/>
  <c r="I29" s="1"/>
  <c r="H28"/>
  <c r="K28" l="1"/>
  <c r="L29"/>
  <c r="F30"/>
  <c r="I30" s="1"/>
  <c r="H29"/>
  <c r="K29" l="1"/>
  <c r="L30"/>
  <c r="F31"/>
  <c r="I31" s="1"/>
  <c r="H30"/>
  <c r="K30" l="1"/>
  <c r="L31"/>
  <c r="F32"/>
  <c r="I32" s="1"/>
  <c r="H31"/>
  <c r="K31" l="1"/>
  <c r="L32"/>
  <c r="F33"/>
  <c r="I33" s="1"/>
  <c r="H32"/>
  <c r="K32" l="1"/>
  <c r="L33"/>
  <c r="F34"/>
  <c r="I34" s="1"/>
  <c r="H33"/>
  <c r="K33" l="1"/>
  <c r="L34"/>
  <c r="F35"/>
  <c r="I35" s="1"/>
  <c r="H34"/>
  <c r="K34" l="1"/>
  <c r="L35"/>
  <c r="F36"/>
  <c r="I36" s="1"/>
  <c r="H35"/>
  <c r="K35" l="1"/>
  <c r="L36"/>
  <c r="F37"/>
  <c r="H36"/>
  <c r="K36" l="1"/>
  <c r="H37"/>
  <c r="I37"/>
  <c r="L37" s="1"/>
  <c r="K37" l="1"/>
</calcChain>
</file>

<file path=xl/comments1.xml><?xml version="1.0" encoding="utf-8"?>
<comments xmlns="http://schemas.openxmlformats.org/spreadsheetml/2006/main">
  <authors>
    <author>Griever</author>
  </authors>
  <commentList>
    <comment ref="A1" authorId="0">
      <text>
        <r>
          <rPr>
            <b/>
            <sz val="9"/>
            <color indexed="81"/>
            <rFont val="Tahoma"/>
            <family val="2"/>
            <charset val="204"/>
          </rPr>
          <t>Griever:</t>
        </r>
        <r>
          <rPr>
            <sz val="9"/>
            <color indexed="81"/>
            <rFont val="Tahoma"/>
            <family val="2"/>
            <charset val="204"/>
          </rPr>
          <t xml:space="preserve">
1. Paste values from hex editor;
2. Data -&gt; TextByColumns -&gt; spaces as separator;
3.Transpose row here</t>
        </r>
      </text>
    </comment>
  </commentList>
</comments>
</file>

<file path=xl/comments2.xml><?xml version="1.0" encoding="utf-8"?>
<comments xmlns="http://schemas.openxmlformats.org/spreadsheetml/2006/main">
  <authors>
    <author>Griever</author>
  </authors>
  <commentList>
    <comment ref="J38" authorId="0">
      <text>
        <r>
          <rPr>
            <b/>
            <sz val="9"/>
            <color indexed="81"/>
            <rFont val="Tahoma"/>
            <family val="2"/>
            <charset val="204"/>
          </rPr>
          <t>Griever:</t>
        </r>
        <r>
          <rPr>
            <sz val="9"/>
            <color indexed="81"/>
            <rFont val="Tahoma"/>
            <family val="2"/>
            <charset val="204"/>
          </rPr>
          <t xml:space="preserve">
Paste from data column: 
paste values and transpose.</t>
        </r>
      </text>
    </comment>
  </commentList>
</comments>
</file>

<file path=xl/sharedStrings.xml><?xml version="1.0" encoding="utf-8"?>
<sst xmlns="http://schemas.openxmlformats.org/spreadsheetml/2006/main" count="32" uniqueCount="21">
  <si>
    <t>data</t>
  </si>
  <si>
    <t>dir idx</t>
  </si>
  <si>
    <t>dx</t>
  </si>
  <si>
    <t>dy</t>
  </si>
  <si>
    <t>accum x</t>
  </si>
  <si>
    <t>accum y</t>
  </si>
  <si>
    <t>data input</t>
  </si>
  <si>
    <t>hi</t>
  </si>
  <si>
    <t>lo</t>
  </si>
  <si>
    <t>indexes</t>
  </si>
  <si>
    <t>accum idx</t>
  </si>
  <si>
    <t>dxdy</t>
  </si>
  <si>
    <t>01</t>
  </si>
  <si>
    <t>1-1</t>
  </si>
  <si>
    <t>0-1</t>
  </si>
  <si>
    <t>-1-1</t>
  </si>
  <si>
    <t>-10</t>
  </si>
  <si>
    <t>11</t>
  </si>
  <si>
    <t>10</t>
  </si>
  <si>
    <t>-11</t>
  </si>
  <si>
    <t>String for hex editor copy:</t>
  </si>
</sst>
</file>

<file path=xl/styles.xml><?xml version="1.0" encoding="utf-8"?>
<styleSheet xmlns="http://schemas.openxmlformats.org/spreadsheetml/2006/main">
  <numFmts count="1">
    <numFmt numFmtId="164" formatCode="00"/>
  </numFmts>
  <fonts count="5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16" fontId="0" fillId="0" borderId="0" xfId="0" quotePrefix="1" applyNumberFormat="1" applyAlignment="1">
      <alignment horizontal="center" vertical="center"/>
    </xf>
    <xf numFmtId="0" fontId="1" fillId="0" borderId="0" xfId="0" applyFont="1"/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/>
  </cellXfs>
  <cellStyles count="1">
    <cellStyle name="Обычный" xfId="0" builtinId="0"/>
  </cellStyles>
  <dxfs count="9"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8071741032370956E-2"/>
          <c:y val="3.7511665208515642E-2"/>
          <c:w val="0.66950242789899195"/>
          <c:h val="0.89719889180519163"/>
        </c:manualLayout>
      </c:layout>
      <c:scatterChart>
        <c:scatterStyle val="lineMarker"/>
        <c:ser>
          <c:idx val="0"/>
          <c:order val="0"/>
          <c:tx>
            <c:strRef>
              <c:f>decode!$L$1</c:f>
              <c:strCache>
                <c:ptCount val="1"/>
                <c:pt idx="0">
                  <c:v>accum y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ru-RU"/>
                      <a:t>1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ru-RU"/>
                      <a:t>2</a:t>
                    </a:r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ru-RU"/>
                      <a:t>3</a:t>
                    </a:r>
                  </a:p>
                </c:rich>
              </c:tx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ru-RU"/>
                      <a:t>4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ru-RU"/>
                      <a:t>5</a:t>
                    </a:r>
                  </a:p>
                </c:rich>
              </c:tx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ru-RU"/>
                      <a:t>6</a:t>
                    </a:r>
                  </a:p>
                </c:rich>
              </c:tx>
              <c:showVal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ru-RU"/>
                      <a:t>7</a:t>
                    </a:r>
                  </a:p>
                </c:rich>
              </c:tx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ru-RU"/>
                      <a:t>8</a:t>
                    </a:r>
                  </a:p>
                </c:rich>
              </c:tx>
              <c:showVal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ru-RU"/>
                      <a:t>9</a:t>
                    </a:r>
                  </a:p>
                </c:rich>
              </c:tx>
              <c:showVal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ru-RU"/>
                      <a:t>10</a:t>
                    </a:r>
                  </a:p>
                </c:rich>
              </c:tx>
              <c:showVal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ru-RU"/>
                      <a:t>11</a:t>
                    </a:r>
                  </a:p>
                </c:rich>
              </c:tx>
              <c:showVal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ru-RU"/>
                      <a:t>12</a:t>
                    </a:r>
                  </a:p>
                </c:rich>
              </c:tx>
              <c:showVal val="1"/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ru-RU"/>
                      <a:t>13</a:t>
                    </a:r>
                  </a:p>
                </c:rich>
              </c:tx>
              <c:showVal val="1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ru-RU"/>
                      <a:t>14</a:t>
                    </a:r>
                  </a:p>
                </c:rich>
              </c:tx>
              <c:showVal val="1"/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ru-RU"/>
                      <a:t>15</a:t>
                    </a:r>
                  </a:p>
                </c:rich>
              </c:tx>
              <c:showVal val="1"/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ru-RU"/>
                      <a:t>16</a:t>
                    </a:r>
                  </a:p>
                </c:rich>
              </c:tx>
              <c:showVal val="1"/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ru-RU"/>
                      <a:t>17</a:t>
                    </a:r>
                  </a:p>
                </c:rich>
              </c:tx>
              <c:showVal val="1"/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ru-RU"/>
                      <a:t>18</a:t>
                    </a:r>
                  </a:p>
                </c:rich>
              </c:tx>
              <c:showVal val="1"/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ru-RU"/>
                      <a:t>19</a:t>
                    </a:r>
                  </a:p>
                </c:rich>
              </c:tx>
              <c:showVal val="1"/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ru-RU"/>
                      <a:t>20</a:t>
                    </a:r>
                  </a:p>
                </c:rich>
              </c:tx>
              <c:showVal val="1"/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ru-RU"/>
                      <a:t>21</a:t>
                    </a:r>
                  </a:p>
                </c:rich>
              </c:tx>
              <c:showVal val="1"/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ru-RU"/>
                      <a:t>22</a:t>
                    </a:r>
                  </a:p>
                </c:rich>
              </c:tx>
              <c:showVal val="1"/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ru-RU"/>
                      <a:t>23</a:t>
                    </a:r>
                  </a:p>
                </c:rich>
              </c:tx>
              <c:showVal val="1"/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ru-RU"/>
                      <a:t>24</a:t>
                    </a:r>
                  </a:p>
                </c:rich>
              </c:tx>
              <c:showVal val="1"/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ru-RU"/>
                      <a:t>25</a:t>
                    </a:r>
                  </a:p>
                </c:rich>
              </c:tx>
              <c:showVal val="1"/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ru-RU"/>
                      <a:t>26</a:t>
                    </a:r>
                  </a:p>
                </c:rich>
              </c:tx>
              <c:showVal val="1"/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ru-RU"/>
                      <a:t>27</a:t>
                    </a:r>
                  </a:p>
                </c:rich>
              </c:tx>
              <c:showVal val="1"/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ru-RU"/>
                      <a:t>28</a:t>
                    </a:r>
                  </a:p>
                </c:rich>
              </c:tx>
              <c:showVal val="1"/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ru-RU"/>
                      <a:t>29</a:t>
                    </a:r>
                  </a:p>
                </c:rich>
              </c:tx>
              <c:showVal val="1"/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ru-RU"/>
                      <a:t>30</a:t>
                    </a:r>
                  </a:p>
                </c:rich>
              </c:tx>
              <c:showVal val="1"/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ru-RU"/>
                      <a:t>31</a:t>
                    </a:r>
                  </a:p>
                </c:rich>
              </c:tx>
              <c:showVal val="1"/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ru-RU"/>
                      <a:t>32</a:t>
                    </a:r>
                  </a:p>
                </c:rich>
              </c:tx>
              <c:showVal val="1"/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ru-RU"/>
                      <a:t>33</a:t>
                    </a:r>
                  </a:p>
                </c:rich>
              </c:tx>
              <c:showVal val="1"/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ru-RU"/>
                      <a:t>34</a:t>
                    </a:r>
                  </a:p>
                </c:rich>
              </c:tx>
              <c:showVal val="1"/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ru-RU"/>
                      <a:t>35</a:t>
                    </a:r>
                  </a:p>
                </c:rich>
              </c:tx>
              <c:showVal val="1"/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ru-RU"/>
                      <a:t>36</a:t>
                    </a:r>
                  </a:p>
                </c:rich>
              </c:tx>
              <c:showVal val="1"/>
            </c:dLbl>
            <c:dLbl>
              <c:idx val="36"/>
              <c:tx>
                <c:rich>
                  <a:bodyPr/>
                  <a:lstStyle/>
                  <a:p>
                    <a:r>
                      <a:rPr lang="ru-RU"/>
                      <a:t>37</a:t>
                    </a:r>
                  </a:p>
                </c:rich>
              </c:tx>
              <c:showVal val="1"/>
            </c:dLbl>
            <c:dLbl>
              <c:idx val="37"/>
              <c:tx>
                <c:rich>
                  <a:bodyPr/>
                  <a:lstStyle/>
                  <a:p>
                    <a:r>
                      <a:rPr lang="ru-RU"/>
                      <a:t>38</a:t>
                    </a:r>
                  </a:p>
                </c:rich>
              </c:tx>
              <c:showVal val="1"/>
            </c:dLbl>
            <c:dLbl>
              <c:idx val="38"/>
              <c:tx>
                <c:rich>
                  <a:bodyPr/>
                  <a:lstStyle/>
                  <a:p>
                    <a:r>
                      <a:rPr lang="ru-RU"/>
                      <a:t>39</a:t>
                    </a:r>
                  </a:p>
                </c:rich>
              </c:tx>
              <c:showVal val="1"/>
            </c:dLbl>
            <c:dLbl>
              <c:idx val="39"/>
              <c:tx>
                <c:rich>
                  <a:bodyPr/>
                  <a:lstStyle/>
                  <a:p>
                    <a:r>
                      <a:rPr lang="ru-RU"/>
                      <a:t>40</a:t>
                    </a:r>
                  </a:p>
                </c:rich>
              </c:tx>
              <c:showVal val="1"/>
            </c:dLbl>
            <c:dLbl>
              <c:idx val="40"/>
              <c:tx>
                <c:rich>
                  <a:bodyPr/>
                  <a:lstStyle/>
                  <a:p>
                    <a:r>
                      <a:rPr lang="ru-RU"/>
                      <a:t>41</a:t>
                    </a:r>
                  </a:p>
                </c:rich>
              </c:tx>
              <c:showVal val="1"/>
            </c:dLbl>
            <c:dLbl>
              <c:idx val="41"/>
              <c:tx>
                <c:rich>
                  <a:bodyPr/>
                  <a:lstStyle/>
                  <a:p>
                    <a:r>
                      <a:rPr lang="ru-RU"/>
                      <a:t>42</a:t>
                    </a:r>
                  </a:p>
                </c:rich>
              </c:tx>
              <c:showVal val="1"/>
            </c:dLbl>
            <c:dLbl>
              <c:idx val="42"/>
              <c:tx>
                <c:rich>
                  <a:bodyPr/>
                  <a:lstStyle/>
                  <a:p>
                    <a:r>
                      <a:rPr lang="ru-RU"/>
                      <a:t>43</a:t>
                    </a:r>
                  </a:p>
                </c:rich>
              </c:tx>
              <c:showVal val="1"/>
            </c:dLbl>
            <c:dLbl>
              <c:idx val="43"/>
              <c:tx>
                <c:rich>
                  <a:bodyPr/>
                  <a:lstStyle/>
                  <a:p>
                    <a:r>
                      <a:rPr lang="ru-RU"/>
                      <a:t>44</a:t>
                    </a:r>
                  </a:p>
                </c:rich>
              </c:tx>
              <c:showVal val="1"/>
            </c:dLbl>
            <c:dLbl>
              <c:idx val="44"/>
              <c:tx>
                <c:rich>
                  <a:bodyPr/>
                  <a:lstStyle/>
                  <a:p>
                    <a:r>
                      <a:rPr lang="ru-RU"/>
                      <a:t>45</a:t>
                    </a:r>
                  </a:p>
                </c:rich>
              </c:tx>
              <c:showVal val="1"/>
            </c:dLbl>
            <c:dLbl>
              <c:idx val="45"/>
              <c:tx>
                <c:rich>
                  <a:bodyPr/>
                  <a:lstStyle/>
                  <a:p>
                    <a:r>
                      <a:rPr lang="ru-RU"/>
                      <a:t>46</a:t>
                    </a:r>
                  </a:p>
                </c:rich>
              </c:tx>
              <c:showVal val="1"/>
            </c:dLbl>
            <c:dLbl>
              <c:idx val="46"/>
              <c:tx>
                <c:rich>
                  <a:bodyPr/>
                  <a:lstStyle/>
                  <a:p>
                    <a:r>
                      <a:rPr lang="ru-RU"/>
                      <a:t>47</a:t>
                    </a:r>
                  </a:p>
                </c:rich>
              </c:tx>
              <c:showVal val="1"/>
            </c:dLbl>
            <c:dLbl>
              <c:idx val="47"/>
              <c:tx>
                <c:rich>
                  <a:bodyPr/>
                  <a:lstStyle/>
                  <a:p>
                    <a:r>
                      <a:rPr lang="ru-RU"/>
                      <a:t>48</a:t>
                    </a:r>
                  </a:p>
                </c:rich>
              </c:tx>
              <c:showVal val="1"/>
            </c:dLbl>
            <c:dLbl>
              <c:idx val="48"/>
              <c:tx>
                <c:rich>
                  <a:bodyPr/>
                  <a:lstStyle/>
                  <a:p>
                    <a:r>
                      <a:rPr lang="ru-RU"/>
                      <a:t>49</a:t>
                    </a:r>
                  </a:p>
                </c:rich>
              </c:tx>
              <c:showVal val="1"/>
            </c:dLbl>
            <c:dLbl>
              <c:idx val="49"/>
              <c:tx>
                <c:rich>
                  <a:bodyPr/>
                  <a:lstStyle/>
                  <a:p>
                    <a:r>
                      <a:rPr lang="ru-RU"/>
                      <a:t>50</a:t>
                    </a:r>
                  </a:p>
                </c:rich>
              </c:tx>
              <c:showVal val="1"/>
            </c:dLbl>
            <c:dLbl>
              <c:idx val="50"/>
              <c:tx>
                <c:rich>
                  <a:bodyPr/>
                  <a:lstStyle/>
                  <a:p>
                    <a:r>
                      <a:rPr lang="ru-RU"/>
                      <a:t>51</a:t>
                    </a:r>
                  </a:p>
                </c:rich>
              </c:tx>
              <c:showVal val="1"/>
            </c:dLbl>
            <c:dLbl>
              <c:idx val="51"/>
              <c:tx>
                <c:rich>
                  <a:bodyPr/>
                  <a:lstStyle/>
                  <a:p>
                    <a:r>
                      <a:rPr lang="ru-RU"/>
                      <a:t>52</a:t>
                    </a:r>
                  </a:p>
                </c:rich>
              </c:tx>
              <c:showVal val="1"/>
            </c:dLbl>
            <c:dLbl>
              <c:idx val="52"/>
              <c:tx>
                <c:rich>
                  <a:bodyPr/>
                  <a:lstStyle/>
                  <a:p>
                    <a:r>
                      <a:rPr lang="ru-RU"/>
                      <a:t>53</a:t>
                    </a:r>
                  </a:p>
                </c:rich>
              </c:tx>
              <c:showVal val="1"/>
            </c:dLbl>
            <c:dLbl>
              <c:idx val="53"/>
              <c:tx>
                <c:rich>
                  <a:bodyPr/>
                  <a:lstStyle/>
                  <a:p>
                    <a:r>
                      <a:rPr lang="ru-RU"/>
                      <a:t>54</a:t>
                    </a:r>
                  </a:p>
                </c:rich>
              </c:tx>
              <c:showVal val="1"/>
            </c:dLbl>
            <c:dLbl>
              <c:idx val="54"/>
              <c:tx>
                <c:rich>
                  <a:bodyPr/>
                  <a:lstStyle/>
                  <a:p>
                    <a:r>
                      <a:rPr lang="ru-RU"/>
                      <a:t>55</a:t>
                    </a:r>
                  </a:p>
                </c:rich>
              </c:tx>
              <c:showVal val="1"/>
            </c:dLbl>
            <c:dLbl>
              <c:idx val="55"/>
              <c:tx>
                <c:rich>
                  <a:bodyPr/>
                  <a:lstStyle/>
                  <a:p>
                    <a:r>
                      <a:rPr lang="ru-RU"/>
                      <a:t>56</a:t>
                    </a:r>
                  </a:p>
                </c:rich>
              </c:tx>
              <c:showVal val="1"/>
            </c:dLbl>
            <c:dLbl>
              <c:idx val="56"/>
              <c:tx>
                <c:rich>
                  <a:bodyPr/>
                  <a:lstStyle/>
                  <a:p>
                    <a:r>
                      <a:rPr lang="ru-RU"/>
                      <a:t>57</a:t>
                    </a:r>
                  </a:p>
                </c:rich>
              </c:tx>
              <c:showVal val="1"/>
            </c:dLbl>
            <c:dLbl>
              <c:idx val="57"/>
              <c:tx>
                <c:rich>
                  <a:bodyPr/>
                  <a:lstStyle/>
                  <a:p>
                    <a:r>
                      <a:rPr lang="ru-RU"/>
                      <a:t>58</a:t>
                    </a:r>
                  </a:p>
                </c:rich>
              </c:tx>
              <c:showVal val="1"/>
            </c:dLbl>
            <c:dLbl>
              <c:idx val="58"/>
              <c:tx>
                <c:rich>
                  <a:bodyPr/>
                  <a:lstStyle/>
                  <a:p>
                    <a:r>
                      <a:rPr lang="ru-RU"/>
                      <a:t>59</a:t>
                    </a:r>
                  </a:p>
                </c:rich>
              </c:tx>
              <c:showVal val="1"/>
            </c:dLbl>
            <c:dLbl>
              <c:idx val="59"/>
              <c:tx>
                <c:rich>
                  <a:bodyPr/>
                  <a:lstStyle/>
                  <a:p>
                    <a:r>
                      <a:rPr lang="ru-RU"/>
                      <a:t>60</a:t>
                    </a:r>
                  </a:p>
                </c:rich>
              </c:tx>
              <c:showVal val="1"/>
            </c:dLbl>
            <c:dLbl>
              <c:idx val="60"/>
              <c:tx>
                <c:rich>
                  <a:bodyPr/>
                  <a:lstStyle/>
                  <a:p>
                    <a:r>
                      <a:rPr lang="ru-RU"/>
                      <a:t>61</a:t>
                    </a:r>
                  </a:p>
                </c:rich>
              </c:tx>
              <c:showVal val="1"/>
            </c:dLbl>
            <c:dLbl>
              <c:idx val="61"/>
              <c:tx>
                <c:rich>
                  <a:bodyPr/>
                  <a:lstStyle/>
                  <a:p>
                    <a:r>
                      <a:rPr lang="ru-RU"/>
                      <a:t>62</a:t>
                    </a:r>
                  </a:p>
                </c:rich>
              </c:tx>
              <c:showVal val="1"/>
            </c:dLbl>
            <c:dLbl>
              <c:idx val="62"/>
              <c:tx>
                <c:rich>
                  <a:bodyPr/>
                  <a:lstStyle/>
                  <a:p>
                    <a:r>
                      <a:rPr lang="ru-RU"/>
                      <a:t>63</a:t>
                    </a:r>
                  </a:p>
                </c:rich>
              </c:tx>
              <c:showVal val="1"/>
            </c:dLbl>
            <c:dLbl>
              <c:idx val="63"/>
              <c:tx>
                <c:rich>
                  <a:bodyPr/>
                  <a:lstStyle/>
                  <a:p>
                    <a:r>
                      <a:rPr lang="ru-RU"/>
                      <a:t>64</a:t>
                    </a:r>
                  </a:p>
                </c:rich>
              </c:tx>
              <c:showVal val="1"/>
            </c:dLbl>
            <c:dLbl>
              <c:idx val="64"/>
              <c:tx>
                <c:rich>
                  <a:bodyPr/>
                  <a:lstStyle/>
                  <a:p>
                    <a:r>
                      <a:rPr lang="ru-RU"/>
                      <a:t>65</a:t>
                    </a:r>
                  </a:p>
                </c:rich>
              </c:tx>
              <c:showVal val="1"/>
            </c:dLbl>
            <c:dLbl>
              <c:idx val="65"/>
              <c:tx>
                <c:rich>
                  <a:bodyPr/>
                  <a:lstStyle/>
                  <a:p>
                    <a:r>
                      <a:rPr lang="ru-RU"/>
                      <a:t>66</a:t>
                    </a:r>
                  </a:p>
                </c:rich>
              </c:tx>
              <c:showVal val="1"/>
            </c:dLbl>
            <c:dLbl>
              <c:idx val="66"/>
              <c:tx>
                <c:rich>
                  <a:bodyPr/>
                  <a:lstStyle/>
                  <a:p>
                    <a:r>
                      <a:rPr lang="ru-RU"/>
                      <a:t>67</a:t>
                    </a:r>
                  </a:p>
                </c:rich>
              </c:tx>
              <c:showVal val="1"/>
            </c:dLbl>
            <c:dLbl>
              <c:idx val="67"/>
              <c:tx>
                <c:rich>
                  <a:bodyPr/>
                  <a:lstStyle/>
                  <a:p>
                    <a:r>
                      <a:rPr lang="ru-RU"/>
                      <a:t>68</a:t>
                    </a:r>
                  </a:p>
                </c:rich>
              </c:tx>
              <c:showVal val="1"/>
            </c:dLbl>
            <c:dLbl>
              <c:idx val="68"/>
              <c:tx>
                <c:rich>
                  <a:bodyPr/>
                  <a:lstStyle/>
                  <a:p>
                    <a:r>
                      <a:rPr lang="ru-RU"/>
                      <a:t>69</a:t>
                    </a:r>
                  </a:p>
                </c:rich>
              </c:tx>
              <c:showVal val="1"/>
            </c:dLbl>
            <c:dLbl>
              <c:idx val="69"/>
              <c:tx>
                <c:rich>
                  <a:bodyPr/>
                  <a:lstStyle/>
                  <a:p>
                    <a:r>
                      <a:rPr lang="ru-RU"/>
                      <a:t>70</a:t>
                    </a:r>
                  </a:p>
                </c:rich>
              </c:tx>
              <c:showVal val="1"/>
            </c:dLbl>
            <c:dLbl>
              <c:idx val="70"/>
              <c:tx>
                <c:rich>
                  <a:bodyPr/>
                  <a:lstStyle/>
                  <a:p>
                    <a:r>
                      <a:rPr lang="ru-RU"/>
                      <a:t>71</a:t>
                    </a:r>
                  </a:p>
                </c:rich>
              </c:tx>
              <c:showVal val="1"/>
            </c:dLbl>
            <c:dLbl>
              <c:idx val="71"/>
              <c:tx>
                <c:rich>
                  <a:bodyPr/>
                  <a:lstStyle/>
                  <a:p>
                    <a:r>
                      <a:rPr lang="ru-RU"/>
                      <a:t>72</a:t>
                    </a:r>
                  </a:p>
                </c:rich>
              </c:tx>
              <c:showVal val="1"/>
            </c:dLbl>
            <c:dLbl>
              <c:idx val="72"/>
              <c:tx>
                <c:rich>
                  <a:bodyPr/>
                  <a:lstStyle/>
                  <a:p>
                    <a:r>
                      <a:rPr lang="ru-RU"/>
                      <a:t>73</a:t>
                    </a:r>
                  </a:p>
                </c:rich>
              </c:tx>
              <c:showVal val="1"/>
            </c:dLbl>
            <c:dLbl>
              <c:idx val="73"/>
              <c:tx>
                <c:rich>
                  <a:bodyPr/>
                  <a:lstStyle/>
                  <a:p>
                    <a:r>
                      <a:rPr lang="ru-RU"/>
                      <a:t>74</a:t>
                    </a:r>
                  </a:p>
                </c:rich>
              </c:tx>
              <c:showVal val="1"/>
            </c:dLbl>
            <c:dLbl>
              <c:idx val="74"/>
              <c:tx>
                <c:rich>
                  <a:bodyPr/>
                  <a:lstStyle/>
                  <a:p>
                    <a:r>
                      <a:rPr lang="ru-RU"/>
                      <a:t>75</a:t>
                    </a:r>
                  </a:p>
                </c:rich>
              </c:tx>
              <c:showVal val="1"/>
            </c:dLbl>
            <c:dLbl>
              <c:idx val="75"/>
              <c:tx>
                <c:rich>
                  <a:bodyPr/>
                  <a:lstStyle/>
                  <a:p>
                    <a:r>
                      <a:rPr lang="ru-RU"/>
                      <a:t>76</a:t>
                    </a:r>
                  </a:p>
                </c:rich>
              </c:tx>
              <c:showVal val="1"/>
            </c:dLbl>
            <c:dLbl>
              <c:idx val="76"/>
              <c:tx>
                <c:rich>
                  <a:bodyPr/>
                  <a:lstStyle/>
                  <a:p>
                    <a:r>
                      <a:rPr lang="ru-RU"/>
                      <a:t>77</a:t>
                    </a:r>
                  </a:p>
                </c:rich>
              </c:tx>
              <c:showVal val="1"/>
            </c:dLbl>
            <c:dLbl>
              <c:idx val="77"/>
              <c:tx>
                <c:rich>
                  <a:bodyPr/>
                  <a:lstStyle/>
                  <a:p>
                    <a:r>
                      <a:rPr lang="ru-RU"/>
                      <a:t>78</a:t>
                    </a:r>
                  </a:p>
                </c:rich>
              </c:tx>
              <c:showVal val="1"/>
            </c:dLbl>
            <c:dLbl>
              <c:idx val="78"/>
              <c:tx>
                <c:rich>
                  <a:bodyPr/>
                  <a:lstStyle/>
                  <a:p>
                    <a:r>
                      <a:rPr lang="ru-RU"/>
                      <a:t>79</a:t>
                    </a:r>
                  </a:p>
                </c:rich>
              </c:tx>
              <c:showVal val="1"/>
            </c:dLbl>
            <c:dLbl>
              <c:idx val="79"/>
              <c:tx>
                <c:rich>
                  <a:bodyPr/>
                  <a:lstStyle/>
                  <a:p>
                    <a:r>
                      <a:rPr lang="ru-RU"/>
                      <a:t>80</a:t>
                    </a:r>
                  </a:p>
                </c:rich>
              </c:tx>
              <c:showVal val="1"/>
            </c:dLbl>
            <c:dLbl>
              <c:idx val="80"/>
              <c:tx>
                <c:rich>
                  <a:bodyPr/>
                  <a:lstStyle/>
                  <a:p>
                    <a:r>
                      <a:rPr lang="ru-RU"/>
                      <a:t>81</a:t>
                    </a:r>
                  </a:p>
                </c:rich>
              </c:tx>
              <c:showVal val="1"/>
            </c:dLbl>
            <c:dLbl>
              <c:idx val="81"/>
              <c:tx>
                <c:rich>
                  <a:bodyPr/>
                  <a:lstStyle/>
                  <a:p>
                    <a:r>
                      <a:rPr lang="ru-RU"/>
                      <a:t>82</a:t>
                    </a:r>
                  </a:p>
                </c:rich>
              </c:tx>
              <c:showVal val="1"/>
            </c:dLbl>
            <c:dLbl>
              <c:idx val="82"/>
              <c:tx>
                <c:rich>
                  <a:bodyPr/>
                  <a:lstStyle/>
                  <a:p>
                    <a:r>
                      <a:rPr lang="ru-RU"/>
                      <a:t>83</a:t>
                    </a:r>
                  </a:p>
                </c:rich>
              </c:tx>
              <c:showVal val="1"/>
            </c:dLbl>
            <c:dLbl>
              <c:idx val="83"/>
              <c:tx>
                <c:rich>
                  <a:bodyPr/>
                  <a:lstStyle/>
                  <a:p>
                    <a:r>
                      <a:rPr lang="ru-RU"/>
                      <a:t>84</a:t>
                    </a:r>
                  </a:p>
                </c:rich>
              </c:tx>
              <c:showVal val="1"/>
            </c:dLbl>
            <c:dLbl>
              <c:idx val="84"/>
              <c:tx>
                <c:rich>
                  <a:bodyPr/>
                  <a:lstStyle/>
                  <a:p>
                    <a:r>
                      <a:rPr lang="ru-RU"/>
                      <a:t>85</a:t>
                    </a:r>
                  </a:p>
                </c:rich>
              </c:tx>
              <c:showVal val="1"/>
            </c:dLbl>
            <c:dLbl>
              <c:idx val="85"/>
              <c:tx>
                <c:rich>
                  <a:bodyPr/>
                  <a:lstStyle/>
                  <a:p>
                    <a:r>
                      <a:rPr lang="ru-RU"/>
                      <a:t>86</a:t>
                    </a:r>
                  </a:p>
                </c:rich>
              </c:tx>
              <c:showVal val="1"/>
            </c:dLbl>
            <c:dLbl>
              <c:idx val="86"/>
              <c:tx>
                <c:rich>
                  <a:bodyPr/>
                  <a:lstStyle/>
                  <a:p>
                    <a:r>
                      <a:rPr lang="ru-RU"/>
                      <a:t>87</a:t>
                    </a:r>
                  </a:p>
                </c:rich>
              </c:tx>
              <c:showVal val="1"/>
            </c:dLbl>
            <c:dLbl>
              <c:idx val="87"/>
              <c:tx>
                <c:rich>
                  <a:bodyPr/>
                  <a:lstStyle/>
                  <a:p>
                    <a:r>
                      <a:rPr lang="ru-RU"/>
                      <a:t>88</a:t>
                    </a:r>
                  </a:p>
                </c:rich>
              </c:tx>
              <c:showVal val="1"/>
            </c:dLbl>
            <c:dLbl>
              <c:idx val="88"/>
              <c:tx>
                <c:rich>
                  <a:bodyPr/>
                  <a:lstStyle/>
                  <a:p>
                    <a:r>
                      <a:rPr lang="ru-RU"/>
                      <a:t>89</a:t>
                    </a:r>
                  </a:p>
                </c:rich>
              </c:tx>
              <c:showVal val="1"/>
            </c:dLbl>
            <c:dLbl>
              <c:idx val="89"/>
              <c:tx>
                <c:rich>
                  <a:bodyPr/>
                  <a:lstStyle/>
                  <a:p>
                    <a:r>
                      <a:rPr lang="ru-RU"/>
                      <a:t>90</a:t>
                    </a:r>
                  </a:p>
                </c:rich>
              </c:tx>
              <c:showVal val="1"/>
            </c:dLbl>
            <c:dLbl>
              <c:idx val="90"/>
              <c:tx>
                <c:rich>
                  <a:bodyPr/>
                  <a:lstStyle/>
                  <a:p>
                    <a:r>
                      <a:rPr lang="ru-RU"/>
                      <a:t>91</a:t>
                    </a:r>
                  </a:p>
                </c:rich>
              </c:tx>
              <c:showVal val="1"/>
            </c:dLbl>
            <c:dLbl>
              <c:idx val="91"/>
              <c:tx>
                <c:rich>
                  <a:bodyPr/>
                  <a:lstStyle/>
                  <a:p>
                    <a:r>
                      <a:rPr lang="ru-RU"/>
                      <a:t>92</a:t>
                    </a:r>
                  </a:p>
                </c:rich>
              </c:tx>
              <c:showVal val="1"/>
            </c:dLbl>
            <c:dLbl>
              <c:idx val="92"/>
              <c:tx>
                <c:rich>
                  <a:bodyPr/>
                  <a:lstStyle/>
                  <a:p>
                    <a:r>
                      <a:rPr lang="ru-RU"/>
                      <a:t>93</a:t>
                    </a:r>
                  </a:p>
                </c:rich>
              </c:tx>
              <c:showVal val="1"/>
            </c:dLbl>
            <c:dLbl>
              <c:idx val="93"/>
              <c:tx>
                <c:rich>
                  <a:bodyPr/>
                  <a:lstStyle/>
                  <a:p>
                    <a:r>
                      <a:rPr lang="ru-RU"/>
                      <a:t>94</a:t>
                    </a:r>
                  </a:p>
                </c:rich>
              </c:tx>
              <c:showVal val="1"/>
            </c:dLbl>
            <c:dLbl>
              <c:idx val="94"/>
              <c:tx>
                <c:rich>
                  <a:bodyPr/>
                  <a:lstStyle/>
                  <a:p>
                    <a:r>
                      <a:rPr lang="ru-RU"/>
                      <a:t>95</a:t>
                    </a:r>
                  </a:p>
                </c:rich>
              </c:tx>
              <c:showVal val="1"/>
            </c:dLbl>
            <c:dLbl>
              <c:idx val="95"/>
              <c:tx>
                <c:rich>
                  <a:bodyPr/>
                  <a:lstStyle/>
                  <a:p>
                    <a:r>
                      <a:rPr lang="ru-RU"/>
                      <a:t>96</a:t>
                    </a:r>
                  </a:p>
                </c:rich>
              </c:tx>
              <c:showVal val="1"/>
            </c:dLbl>
            <c:dLbl>
              <c:idx val="96"/>
              <c:tx>
                <c:rich>
                  <a:bodyPr/>
                  <a:lstStyle/>
                  <a:p>
                    <a:r>
                      <a:rPr lang="ru-RU"/>
                      <a:t>97</a:t>
                    </a:r>
                  </a:p>
                </c:rich>
              </c:tx>
              <c:showVal val="1"/>
            </c:dLbl>
            <c:dLbl>
              <c:idx val="97"/>
              <c:tx>
                <c:rich>
                  <a:bodyPr/>
                  <a:lstStyle/>
                  <a:p>
                    <a:r>
                      <a:rPr lang="ru-RU"/>
                      <a:t>98</a:t>
                    </a:r>
                  </a:p>
                </c:rich>
              </c:tx>
              <c:showVal val="1"/>
            </c:dLbl>
            <c:dLbl>
              <c:idx val="98"/>
              <c:tx>
                <c:rich>
                  <a:bodyPr/>
                  <a:lstStyle/>
                  <a:p>
                    <a:r>
                      <a:rPr lang="ru-RU"/>
                      <a:t>99</a:t>
                    </a:r>
                  </a:p>
                </c:rich>
              </c:tx>
              <c:showVal val="1"/>
            </c:dLbl>
            <c:dLbl>
              <c:idx val="99"/>
              <c:tx>
                <c:rich>
                  <a:bodyPr/>
                  <a:lstStyle/>
                  <a:p>
                    <a:r>
                      <a:rPr lang="ru-RU"/>
                      <a:t>100</a:t>
                    </a:r>
                  </a:p>
                </c:rich>
              </c:tx>
              <c:showVal val="1"/>
            </c:dLbl>
            <c:dLbl>
              <c:idx val="100"/>
              <c:tx>
                <c:rich>
                  <a:bodyPr/>
                  <a:lstStyle/>
                  <a:p>
                    <a:r>
                      <a:rPr lang="ru-RU"/>
                      <a:t>101</a:t>
                    </a:r>
                  </a:p>
                </c:rich>
              </c:tx>
              <c:showVal val="1"/>
            </c:dLbl>
            <c:dLbl>
              <c:idx val="101"/>
              <c:tx>
                <c:rich>
                  <a:bodyPr/>
                  <a:lstStyle/>
                  <a:p>
                    <a:r>
                      <a:rPr lang="ru-RU"/>
                      <a:t>102</a:t>
                    </a:r>
                  </a:p>
                </c:rich>
              </c:tx>
              <c:showVal val="1"/>
            </c:dLbl>
            <c:dLbl>
              <c:idx val="102"/>
              <c:tx>
                <c:rich>
                  <a:bodyPr/>
                  <a:lstStyle/>
                  <a:p>
                    <a:r>
                      <a:rPr lang="ru-RU"/>
                      <a:t>103</a:t>
                    </a:r>
                  </a:p>
                </c:rich>
              </c:tx>
              <c:showVal val="1"/>
            </c:dLbl>
            <c:dLbl>
              <c:idx val="103"/>
              <c:tx>
                <c:rich>
                  <a:bodyPr/>
                  <a:lstStyle/>
                  <a:p>
                    <a:r>
                      <a:rPr lang="ru-RU"/>
                      <a:t>104</a:t>
                    </a:r>
                  </a:p>
                </c:rich>
              </c:tx>
              <c:showVal val="1"/>
            </c:dLbl>
            <c:dLbl>
              <c:idx val="104"/>
              <c:tx>
                <c:rich>
                  <a:bodyPr/>
                  <a:lstStyle/>
                  <a:p>
                    <a:r>
                      <a:rPr lang="ru-RU"/>
                      <a:t>105</a:t>
                    </a:r>
                  </a:p>
                </c:rich>
              </c:tx>
              <c:showVal val="1"/>
            </c:dLbl>
            <c:dLbl>
              <c:idx val="105"/>
              <c:tx>
                <c:rich>
                  <a:bodyPr/>
                  <a:lstStyle/>
                  <a:p>
                    <a:r>
                      <a:rPr lang="ru-RU"/>
                      <a:t>106</a:t>
                    </a:r>
                  </a:p>
                </c:rich>
              </c:tx>
              <c:showVal val="1"/>
            </c:dLbl>
            <c:dLbl>
              <c:idx val="106"/>
              <c:tx>
                <c:rich>
                  <a:bodyPr/>
                  <a:lstStyle/>
                  <a:p>
                    <a:r>
                      <a:rPr lang="ru-RU"/>
                      <a:t>107</a:t>
                    </a:r>
                  </a:p>
                </c:rich>
              </c:tx>
              <c:showVal val="1"/>
            </c:dLbl>
            <c:dLbl>
              <c:idx val="107"/>
              <c:tx>
                <c:rich>
                  <a:bodyPr/>
                  <a:lstStyle/>
                  <a:p>
                    <a:r>
                      <a:rPr lang="ru-RU"/>
                      <a:t>108</a:t>
                    </a:r>
                  </a:p>
                </c:rich>
              </c:tx>
              <c:showVal val="1"/>
            </c:dLbl>
            <c:dLbl>
              <c:idx val="108"/>
              <c:tx>
                <c:rich>
                  <a:bodyPr/>
                  <a:lstStyle/>
                  <a:p>
                    <a:r>
                      <a:rPr lang="ru-RU"/>
                      <a:t>109</a:t>
                    </a:r>
                  </a:p>
                </c:rich>
              </c:tx>
              <c:showVal val="1"/>
            </c:dLbl>
            <c:dLbl>
              <c:idx val="109"/>
              <c:tx>
                <c:rich>
                  <a:bodyPr/>
                  <a:lstStyle/>
                  <a:p>
                    <a:r>
                      <a:rPr lang="ru-RU"/>
                      <a:t>110</a:t>
                    </a:r>
                  </a:p>
                </c:rich>
              </c:tx>
              <c:showVal val="1"/>
            </c:dLbl>
            <c:dLbl>
              <c:idx val="110"/>
              <c:tx>
                <c:rich>
                  <a:bodyPr/>
                  <a:lstStyle/>
                  <a:p>
                    <a:r>
                      <a:rPr lang="ru-RU"/>
                      <a:t>111</a:t>
                    </a:r>
                  </a:p>
                </c:rich>
              </c:tx>
              <c:showVal val="1"/>
            </c:dLbl>
            <c:dLbl>
              <c:idx val="111"/>
              <c:tx>
                <c:rich>
                  <a:bodyPr/>
                  <a:lstStyle/>
                  <a:p>
                    <a:r>
                      <a:rPr lang="ru-RU"/>
                      <a:t>112</a:t>
                    </a:r>
                  </a:p>
                </c:rich>
              </c:tx>
              <c:showVal val="1"/>
            </c:dLbl>
            <c:dLbl>
              <c:idx val="112"/>
              <c:tx>
                <c:rich>
                  <a:bodyPr/>
                  <a:lstStyle/>
                  <a:p>
                    <a:r>
                      <a:rPr lang="ru-RU"/>
                      <a:t>113</a:t>
                    </a:r>
                  </a:p>
                </c:rich>
              </c:tx>
              <c:showVal val="1"/>
            </c:dLbl>
            <c:dLbl>
              <c:idx val="113"/>
              <c:tx>
                <c:rich>
                  <a:bodyPr/>
                  <a:lstStyle/>
                  <a:p>
                    <a:r>
                      <a:rPr lang="ru-RU"/>
                      <a:t>114</a:t>
                    </a:r>
                  </a:p>
                </c:rich>
              </c:tx>
              <c:showVal val="1"/>
            </c:dLbl>
            <c:dLbl>
              <c:idx val="114"/>
              <c:tx>
                <c:rich>
                  <a:bodyPr/>
                  <a:lstStyle/>
                  <a:p>
                    <a:r>
                      <a:rPr lang="ru-RU"/>
                      <a:t>115</a:t>
                    </a:r>
                  </a:p>
                </c:rich>
              </c:tx>
              <c:showVal val="1"/>
            </c:dLbl>
            <c:dLbl>
              <c:idx val="115"/>
              <c:tx>
                <c:rich>
                  <a:bodyPr/>
                  <a:lstStyle/>
                  <a:p>
                    <a:r>
                      <a:rPr lang="ru-RU"/>
                      <a:t>116</a:t>
                    </a:r>
                  </a:p>
                </c:rich>
              </c:tx>
              <c:showVal val="1"/>
            </c:dLbl>
            <c:dLbl>
              <c:idx val="116"/>
              <c:tx>
                <c:rich>
                  <a:bodyPr/>
                  <a:lstStyle/>
                  <a:p>
                    <a:r>
                      <a:rPr lang="ru-RU"/>
                      <a:t>117</a:t>
                    </a:r>
                  </a:p>
                </c:rich>
              </c:tx>
              <c:showVal val="1"/>
            </c:dLbl>
            <c:dLbl>
              <c:idx val="117"/>
              <c:tx>
                <c:rich>
                  <a:bodyPr/>
                  <a:lstStyle/>
                  <a:p>
                    <a:r>
                      <a:rPr lang="ru-RU"/>
                      <a:t>118</a:t>
                    </a:r>
                  </a:p>
                </c:rich>
              </c:tx>
              <c:showVal val="1"/>
            </c:dLbl>
            <c:dLbl>
              <c:idx val="118"/>
              <c:tx>
                <c:rich>
                  <a:bodyPr/>
                  <a:lstStyle/>
                  <a:p>
                    <a:r>
                      <a:rPr lang="ru-RU"/>
                      <a:t>119</a:t>
                    </a:r>
                  </a:p>
                </c:rich>
              </c:tx>
              <c:showVal val="1"/>
            </c:dLbl>
            <c:dLbl>
              <c:idx val="119"/>
              <c:tx>
                <c:rich>
                  <a:bodyPr/>
                  <a:lstStyle/>
                  <a:p>
                    <a:r>
                      <a:rPr lang="ru-RU"/>
                      <a:t>120</a:t>
                    </a:r>
                  </a:p>
                </c:rich>
              </c:tx>
              <c:showVal val="1"/>
            </c:dLbl>
            <c:dLbl>
              <c:idx val="120"/>
              <c:tx>
                <c:rich>
                  <a:bodyPr/>
                  <a:lstStyle/>
                  <a:p>
                    <a:r>
                      <a:rPr lang="ru-RU"/>
                      <a:t>121</a:t>
                    </a:r>
                  </a:p>
                </c:rich>
              </c:tx>
              <c:showVal val="1"/>
            </c:dLbl>
            <c:dLbl>
              <c:idx val="121"/>
              <c:tx>
                <c:rich>
                  <a:bodyPr/>
                  <a:lstStyle/>
                  <a:p>
                    <a:r>
                      <a:rPr lang="ru-RU"/>
                      <a:t>122</a:t>
                    </a:r>
                  </a:p>
                </c:rich>
              </c:tx>
              <c:showVal val="1"/>
            </c:dLbl>
            <c:dLbl>
              <c:idx val="122"/>
              <c:tx>
                <c:rich>
                  <a:bodyPr/>
                  <a:lstStyle/>
                  <a:p>
                    <a:r>
                      <a:rPr lang="ru-RU"/>
                      <a:t>123</a:t>
                    </a:r>
                  </a:p>
                </c:rich>
              </c:tx>
              <c:showVal val="1"/>
            </c:dLbl>
            <c:dLbl>
              <c:idx val="123"/>
              <c:tx>
                <c:rich>
                  <a:bodyPr/>
                  <a:lstStyle/>
                  <a:p>
                    <a:r>
                      <a:rPr lang="ru-RU"/>
                      <a:t>124</a:t>
                    </a:r>
                  </a:p>
                </c:rich>
              </c:tx>
              <c:showVal val="1"/>
            </c:dLbl>
            <c:dLbl>
              <c:idx val="124"/>
              <c:tx>
                <c:rich>
                  <a:bodyPr/>
                  <a:lstStyle/>
                  <a:p>
                    <a:r>
                      <a:rPr lang="ru-RU"/>
                      <a:t>125</a:t>
                    </a:r>
                  </a:p>
                </c:rich>
              </c:tx>
              <c:showVal val="1"/>
            </c:dLbl>
            <c:dLbl>
              <c:idx val="125"/>
              <c:tx>
                <c:rich>
                  <a:bodyPr/>
                  <a:lstStyle/>
                  <a:p>
                    <a:r>
                      <a:rPr lang="ru-RU"/>
                      <a:t>126</a:t>
                    </a:r>
                  </a:p>
                </c:rich>
              </c:tx>
              <c:showVal val="1"/>
            </c:dLbl>
            <c:dLbl>
              <c:idx val="126"/>
              <c:tx>
                <c:rich>
                  <a:bodyPr/>
                  <a:lstStyle/>
                  <a:p>
                    <a:r>
                      <a:rPr lang="ru-RU"/>
                      <a:t>127</a:t>
                    </a:r>
                  </a:p>
                </c:rich>
              </c:tx>
              <c:showVal val="1"/>
            </c:dLbl>
            <c:dLbl>
              <c:idx val="127"/>
              <c:tx>
                <c:rich>
                  <a:bodyPr/>
                  <a:lstStyle/>
                  <a:p>
                    <a:r>
                      <a:rPr lang="ru-RU"/>
                      <a:t>128</a:t>
                    </a:r>
                  </a:p>
                </c:rich>
              </c:tx>
              <c:showVal val="1"/>
            </c:dLbl>
            <c:dLbl>
              <c:idx val="128"/>
              <c:tx>
                <c:rich>
                  <a:bodyPr/>
                  <a:lstStyle/>
                  <a:p>
                    <a:r>
                      <a:rPr lang="ru-RU"/>
                      <a:t>129</a:t>
                    </a:r>
                  </a:p>
                </c:rich>
              </c:tx>
              <c:showVal val="1"/>
            </c:dLbl>
            <c:dLbl>
              <c:idx val="129"/>
              <c:tx>
                <c:rich>
                  <a:bodyPr/>
                  <a:lstStyle/>
                  <a:p>
                    <a:r>
                      <a:rPr lang="ru-RU"/>
                      <a:t>130</a:t>
                    </a:r>
                  </a:p>
                </c:rich>
              </c:tx>
              <c:showVal val="1"/>
            </c:dLbl>
            <c:dLbl>
              <c:idx val="130"/>
              <c:tx>
                <c:rich>
                  <a:bodyPr/>
                  <a:lstStyle/>
                  <a:p>
                    <a:r>
                      <a:rPr lang="ru-RU"/>
                      <a:t>131</a:t>
                    </a:r>
                  </a:p>
                </c:rich>
              </c:tx>
              <c:showVal val="1"/>
            </c:dLbl>
            <c:dLbl>
              <c:idx val="131"/>
              <c:tx>
                <c:rich>
                  <a:bodyPr/>
                  <a:lstStyle/>
                  <a:p>
                    <a:r>
                      <a:rPr lang="ru-RU"/>
                      <a:t>132</a:t>
                    </a:r>
                  </a:p>
                </c:rich>
              </c:tx>
              <c:showVal val="1"/>
            </c:dLbl>
            <c:dLbl>
              <c:idx val="132"/>
              <c:tx>
                <c:rich>
                  <a:bodyPr/>
                  <a:lstStyle/>
                  <a:p>
                    <a:r>
                      <a:rPr lang="ru-RU"/>
                      <a:t>133</a:t>
                    </a:r>
                  </a:p>
                </c:rich>
              </c:tx>
              <c:showVal val="1"/>
            </c:dLbl>
            <c:dLbl>
              <c:idx val="133"/>
              <c:tx>
                <c:rich>
                  <a:bodyPr/>
                  <a:lstStyle/>
                  <a:p>
                    <a:r>
                      <a:rPr lang="ru-RU"/>
                      <a:t>134</a:t>
                    </a:r>
                  </a:p>
                </c:rich>
              </c:tx>
              <c:showVal val="1"/>
            </c:dLbl>
            <c:dLbl>
              <c:idx val="134"/>
              <c:tx>
                <c:rich>
                  <a:bodyPr/>
                  <a:lstStyle/>
                  <a:p>
                    <a:r>
                      <a:rPr lang="ru-RU"/>
                      <a:t>135</a:t>
                    </a:r>
                  </a:p>
                </c:rich>
              </c:tx>
              <c:showVal val="1"/>
            </c:dLbl>
            <c:dLbl>
              <c:idx val="135"/>
              <c:tx>
                <c:rich>
                  <a:bodyPr/>
                  <a:lstStyle/>
                  <a:p>
                    <a:r>
                      <a:rPr lang="ru-RU"/>
                      <a:t>136</a:t>
                    </a:r>
                  </a:p>
                </c:rich>
              </c:tx>
              <c:showVal val="1"/>
            </c:dLbl>
            <c:showVal val="1"/>
          </c:dLbls>
          <c:xVal>
            <c:numRef>
              <c:f>decode!$K$2:$K$137</c:f>
              <c:numCache>
                <c:formatCode>General</c:formatCode>
                <c:ptCount val="13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-3</c:v>
                </c:pt>
                <c:pt idx="12">
                  <c:v>-3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-4</c:v>
                </c:pt>
                <c:pt idx="19">
                  <c:v>-4</c:v>
                </c:pt>
                <c:pt idx="20">
                  <c:v>-5</c:v>
                </c:pt>
                <c:pt idx="21">
                  <c:v>-4</c:v>
                </c:pt>
                <c:pt idx="22">
                  <c:v>-3</c:v>
                </c:pt>
                <c:pt idx="23">
                  <c:v>-2</c:v>
                </c:pt>
                <c:pt idx="24">
                  <c:v>-2</c:v>
                </c:pt>
                <c:pt idx="25">
                  <c:v>-1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-2</c:v>
                </c:pt>
                <c:pt idx="35">
                  <c:v>-3</c:v>
                </c:pt>
              </c:numCache>
            </c:numRef>
          </c:xVal>
          <c:yVal>
            <c:numRef>
              <c:f>decode!$L$2:$L$137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  <c:pt idx="14">
                  <c:v>-2</c:v>
                </c:pt>
                <c:pt idx="15">
                  <c:v>-3</c:v>
                </c:pt>
                <c:pt idx="16">
                  <c:v>-3</c:v>
                </c:pt>
                <c:pt idx="17">
                  <c:v>-4</c:v>
                </c:pt>
                <c:pt idx="18">
                  <c:v>-4</c:v>
                </c:pt>
                <c:pt idx="19">
                  <c:v>-5</c:v>
                </c:pt>
                <c:pt idx="20">
                  <c:v>-5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-4</c:v>
                </c:pt>
                <c:pt idx="28">
                  <c:v>-3</c:v>
                </c:pt>
                <c:pt idx="29">
                  <c:v>-4</c:v>
                </c:pt>
                <c:pt idx="30">
                  <c:v>-5</c:v>
                </c:pt>
                <c:pt idx="31">
                  <c:v>-5</c:v>
                </c:pt>
                <c:pt idx="32">
                  <c:v>-6</c:v>
                </c:pt>
                <c:pt idx="33">
                  <c:v>-7</c:v>
                </c:pt>
                <c:pt idx="34">
                  <c:v>-8</c:v>
                </c:pt>
                <c:pt idx="35">
                  <c:v>-9</c:v>
                </c:pt>
              </c:numCache>
            </c:numRef>
          </c:yVal>
        </c:ser>
        <c:dLbls>
          <c:showVal val="1"/>
        </c:dLbls>
        <c:axId val="90466560"/>
        <c:axId val="99889152"/>
      </c:scatterChart>
      <c:valAx>
        <c:axId val="90466560"/>
        <c:scaling>
          <c:orientation val="minMax"/>
        </c:scaling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none"/>
        <c:tickLblPos val="nextTo"/>
        <c:spPr>
          <a:ln w="25400">
            <a:solidFill>
              <a:srgbClr val="FF0000"/>
            </a:solidFill>
          </a:ln>
        </c:spPr>
        <c:crossAx val="99889152"/>
        <c:crosses val="autoZero"/>
        <c:crossBetween val="midCat"/>
        <c:majorUnit val="1"/>
      </c:valAx>
      <c:valAx>
        <c:axId val="99889152"/>
        <c:scaling>
          <c:orientation val="minMax"/>
        </c:scaling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tickLblPos val="nextTo"/>
        <c:spPr>
          <a:ln w="25400">
            <a:solidFill>
              <a:srgbClr val="FF0000"/>
            </a:solidFill>
          </a:ln>
        </c:spPr>
        <c:crossAx val="90466560"/>
        <c:crosses val="autoZero"/>
        <c:crossBetween val="midCat"/>
        <c:majorUnit val="1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8071741032370956E-2"/>
          <c:y val="3.7511665208515642E-2"/>
          <c:w val="0.66950242789899195"/>
          <c:h val="0.8971988918051916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15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ru-RU"/>
                      <a:t>1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ru-RU"/>
                      <a:t>2</a:t>
                    </a:r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ru-RU"/>
                      <a:t>3</a:t>
                    </a:r>
                  </a:p>
                </c:rich>
              </c:tx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ru-RU"/>
                      <a:t>4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ru-RU"/>
                      <a:t>5</a:t>
                    </a:r>
                  </a:p>
                </c:rich>
              </c:tx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ru-RU"/>
                      <a:t>6</a:t>
                    </a:r>
                  </a:p>
                </c:rich>
              </c:tx>
              <c:showVal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ru-RU"/>
                      <a:t>7</a:t>
                    </a:r>
                  </a:p>
                </c:rich>
              </c:tx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ru-RU"/>
                      <a:t>8</a:t>
                    </a:r>
                  </a:p>
                </c:rich>
              </c:tx>
              <c:showVal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ru-RU"/>
                      <a:t>9</a:t>
                    </a:r>
                  </a:p>
                </c:rich>
              </c:tx>
              <c:showVal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ru-RU"/>
                      <a:t>10</a:t>
                    </a:r>
                  </a:p>
                </c:rich>
              </c:tx>
              <c:showVal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ru-RU"/>
                      <a:t>11</a:t>
                    </a:r>
                  </a:p>
                </c:rich>
              </c:tx>
              <c:showVal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ru-RU"/>
                      <a:t>12</a:t>
                    </a:r>
                  </a:p>
                </c:rich>
              </c:tx>
              <c:showVal val="1"/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ru-RU"/>
                      <a:t>13</a:t>
                    </a:r>
                  </a:p>
                </c:rich>
              </c:tx>
              <c:showVal val="1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ru-RU"/>
                      <a:t>14</a:t>
                    </a:r>
                  </a:p>
                </c:rich>
              </c:tx>
              <c:showVal val="1"/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ru-RU"/>
                      <a:t>15</a:t>
                    </a:r>
                  </a:p>
                </c:rich>
              </c:tx>
              <c:showVal val="1"/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ru-RU"/>
                      <a:t>16</a:t>
                    </a:r>
                  </a:p>
                </c:rich>
              </c:tx>
              <c:showVal val="1"/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ru-RU"/>
                      <a:t>17</a:t>
                    </a:r>
                  </a:p>
                </c:rich>
              </c:tx>
              <c:showVal val="1"/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ru-RU"/>
                      <a:t>18</a:t>
                    </a:r>
                  </a:p>
                </c:rich>
              </c:tx>
              <c:showVal val="1"/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ru-RU"/>
                      <a:t>19</a:t>
                    </a:r>
                  </a:p>
                </c:rich>
              </c:tx>
              <c:showVal val="1"/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ru-RU"/>
                      <a:t>20</a:t>
                    </a:r>
                  </a:p>
                </c:rich>
              </c:tx>
              <c:showVal val="1"/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ru-RU"/>
                      <a:t>21</a:t>
                    </a:r>
                  </a:p>
                </c:rich>
              </c:tx>
              <c:showVal val="1"/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ru-RU"/>
                      <a:t>22</a:t>
                    </a:r>
                  </a:p>
                </c:rich>
              </c:tx>
              <c:showVal val="1"/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ru-RU"/>
                      <a:t>23</a:t>
                    </a:r>
                  </a:p>
                </c:rich>
              </c:tx>
              <c:showVal val="1"/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ru-RU"/>
                      <a:t>24</a:t>
                    </a:r>
                  </a:p>
                </c:rich>
              </c:tx>
              <c:showVal val="1"/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ru-RU"/>
                      <a:t>25</a:t>
                    </a:r>
                  </a:p>
                </c:rich>
              </c:tx>
              <c:showVal val="1"/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ru-RU"/>
                      <a:t>26</a:t>
                    </a:r>
                  </a:p>
                </c:rich>
              </c:tx>
              <c:showVal val="1"/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ru-RU"/>
                      <a:t>27</a:t>
                    </a:r>
                  </a:p>
                </c:rich>
              </c:tx>
              <c:showVal val="1"/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ru-RU"/>
                      <a:t>28</a:t>
                    </a:r>
                  </a:p>
                </c:rich>
              </c:tx>
              <c:showVal val="1"/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ru-RU"/>
                      <a:t>29</a:t>
                    </a:r>
                  </a:p>
                </c:rich>
              </c:tx>
              <c:showVal val="1"/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ru-RU"/>
                      <a:t>30</a:t>
                    </a:r>
                  </a:p>
                </c:rich>
              </c:tx>
              <c:showVal val="1"/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ru-RU"/>
                      <a:t>31</a:t>
                    </a:r>
                  </a:p>
                </c:rich>
              </c:tx>
              <c:showVal val="1"/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ru-RU"/>
                      <a:t>32</a:t>
                    </a:r>
                  </a:p>
                </c:rich>
              </c:tx>
              <c:showVal val="1"/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ru-RU"/>
                      <a:t>33</a:t>
                    </a:r>
                  </a:p>
                </c:rich>
              </c:tx>
              <c:showVal val="1"/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ru-RU"/>
                      <a:t>34</a:t>
                    </a:r>
                  </a:p>
                </c:rich>
              </c:tx>
              <c:showVal val="1"/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ru-RU"/>
                      <a:t>35</a:t>
                    </a:r>
                  </a:p>
                </c:rich>
              </c:tx>
              <c:showVal val="1"/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ru-RU"/>
                      <a:t>36</a:t>
                    </a:r>
                  </a:p>
                </c:rich>
              </c:tx>
              <c:showVal val="1"/>
            </c:dLbl>
            <c:showVal val="1"/>
          </c:dLbls>
          <c:xVal>
            <c:numRef>
              <c:f>encode!$D$2:$D$37</c:f>
              <c:numCache>
                <c:formatCode>General</c:formatCode>
                <c:ptCount val="3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-3</c:v>
                </c:pt>
                <c:pt idx="12">
                  <c:v>-3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-4</c:v>
                </c:pt>
                <c:pt idx="19">
                  <c:v>-4</c:v>
                </c:pt>
                <c:pt idx="20">
                  <c:v>-5</c:v>
                </c:pt>
                <c:pt idx="21">
                  <c:v>-4</c:v>
                </c:pt>
                <c:pt idx="22">
                  <c:v>-3</c:v>
                </c:pt>
                <c:pt idx="23">
                  <c:v>-2</c:v>
                </c:pt>
                <c:pt idx="24">
                  <c:v>-2</c:v>
                </c:pt>
                <c:pt idx="25">
                  <c:v>-1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-2</c:v>
                </c:pt>
                <c:pt idx="35">
                  <c:v>-3</c:v>
                </c:pt>
              </c:numCache>
            </c:numRef>
          </c:xVal>
          <c:yVal>
            <c:numRef>
              <c:f>encode!$E$2:$E$37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  <c:pt idx="14">
                  <c:v>-2</c:v>
                </c:pt>
                <c:pt idx="15">
                  <c:v>-3</c:v>
                </c:pt>
                <c:pt idx="16">
                  <c:v>-3</c:v>
                </c:pt>
                <c:pt idx="17">
                  <c:v>-4</c:v>
                </c:pt>
                <c:pt idx="18">
                  <c:v>-4</c:v>
                </c:pt>
                <c:pt idx="19">
                  <c:v>-5</c:v>
                </c:pt>
                <c:pt idx="20">
                  <c:v>-5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-4</c:v>
                </c:pt>
                <c:pt idx="28">
                  <c:v>-3</c:v>
                </c:pt>
                <c:pt idx="29">
                  <c:v>-4</c:v>
                </c:pt>
                <c:pt idx="30">
                  <c:v>-5</c:v>
                </c:pt>
                <c:pt idx="31">
                  <c:v>-5</c:v>
                </c:pt>
                <c:pt idx="32">
                  <c:v>-6</c:v>
                </c:pt>
                <c:pt idx="33">
                  <c:v>-7</c:v>
                </c:pt>
                <c:pt idx="34">
                  <c:v>-8</c:v>
                </c:pt>
                <c:pt idx="35">
                  <c:v>-9</c:v>
                </c:pt>
              </c:numCache>
            </c:numRef>
          </c:yVal>
        </c:ser>
        <c:dLbls>
          <c:showVal val="1"/>
        </c:dLbls>
        <c:axId val="101244288"/>
        <c:axId val="101770368"/>
      </c:scatterChart>
      <c:valAx>
        <c:axId val="101244288"/>
        <c:scaling>
          <c:orientation val="minMax"/>
        </c:scaling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none"/>
        <c:tickLblPos val="nextTo"/>
        <c:spPr>
          <a:ln w="25400">
            <a:solidFill>
              <a:srgbClr val="FF0000"/>
            </a:solidFill>
          </a:ln>
        </c:spPr>
        <c:crossAx val="101770368"/>
        <c:crosses val="autoZero"/>
        <c:crossBetween val="midCat"/>
        <c:majorUnit val="1"/>
      </c:valAx>
      <c:valAx>
        <c:axId val="101770368"/>
        <c:scaling>
          <c:orientation val="minMax"/>
        </c:scaling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tickLblPos val="nextTo"/>
        <c:spPr>
          <a:ln w="25400">
            <a:solidFill>
              <a:srgbClr val="FF0000"/>
            </a:solidFill>
          </a:ln>
        </c:spPr>
        <c:crossAx val="101244288"/>
        <c:crosses val="autoZero"/>
        <c:crossBetween val="midCat"/>
        <c:majorUnit val="1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0</xdr:row>
      <xdr:rowOff>66675</xdr:rowOff>
    </xdr:from>
    <xdr:to>
      <xdr:col>22</xdr:col>
      <xdr:colOff>155202</xdr:colOff>
      <xdr:row>26</xdr:row>
      <xdr:rowOff>95251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</xdr:colOff>
      <xdr:row>0</xdr:row>
      <xdr:rowOff>19050</xdr:rowOff>
    </xdr:from>
    <xdr:to>
      <xdr:col>22</xdr:col>
      <xdr:colOff>383802</xdr:colOff>
      <xdr:row>26</xdr:row>
      <xdr:rowOff>47626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dirLookupTbl" displayName="dirLookupTbl" ref="A1:C9" totalsRowShown="0" headerRowDxfId="8" dataDxfId="7">
  <autoFilter ref="A1:C9"/>
  <tableColumns count="3">
    <tableColumn id="1" name="dir idx" dataDxfId="6"/>
    <tableColumn id="2" name="dx" dataDxfId="5"/>
    <tableColumn id="3" name="dy" dataDxfId="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dxdyLookupTbl" displayName="dxdyLookupTbl" ref="E1:F9" totalsRowShown="0" headerRowDxfId="3" dataDxfId="2">
  <autoFilter ref="E1:F9"/>
  <tableColumns count="2">
    <tableColumn id="1" name="dxdy" dataDxfId="1"/>
    <tableColumn id="2" name="dir idx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L37"/>
  <sheetViews>
    <sheetView workbookViewId="0">
      <selection activeCell="O34" sqref="O34"/>
    </sheetView>
  </sheetViews>
  <sheetFormatPr defaultRowHeight="15"/>
  <sheetData>
    <row r="1" spans="1:12">
      <c r="A1" s="2" t="s">
        <v>6</v>
      </c>
      <c r="B1" s="2" t="s">
        <v>7</v>
      </c>
      <c r="C1" s="2" t="s">
        <v>8</v>
      </c>
      <c r="D1" s="2"/>
      <c r="E1" s="2" t="s">
        <v>9</v>
      </c>
      <c r="F1" s="2" t="s">
        <v>10</v>
      </c>
      <c r="G1" s="2"/>
      <c r="H1" s="2" t="s">
        <v>2</v>
      </c>
      <c r="I1" s="2" t="s">
        <v>3</v>
      </c>
      <c r="J1" s="2"/>
      <c r="K1" s="2" t="s">
        <v>4</v>
      </c>
      <c r="L1" s="2" t="s">
        <v>5</v>
      </c>
    </row>
    <row r="2" spans="1:12">
      <c r="A2">
        <v>26</v>
      </c>
      <c r="B2">
        <f>MOD(TRUNC(A2/10),10)</f>
        <v>2</v>
      </c>
      <c r="C2">
        <f>MOD(TRUNC(A2),10)</f>
        <v>6</v>
      </c>
      <c r="E2">
        <f ca="1">INDIRECT("B"&amp;INT(ROW()/2)+1)</f>
        <v>2</v>
      </c>
      <c r="F2">
        <f ca="1">E2</f>
        <v>2</v>
      </c>
      <c r="H2">
        <f ca="1">VLOOKUP(F2,dirLookupTbl[],2,FALSE)</f>
        <v>1</v>
      </c>
      <c r="I2">
        <f ca="1">VLOOKUP(F2,dirLookupTbl[],3,FALSE)</f>
        <v>0</v>
      </c>
      <c r="K2">
        <f ca="1">H2</f>
        <v>1</v>
      </c>
      <c r="L2">
        <f ca="1">I2</f>
        <v>0</v>
      </c>
    </row>
    <row r="3" spans="1:12">
      <c r="A3">
        <v>26</v>
      </c>
      <c r="B3">
        <f t="shared" ref="B3:B19" si="0">MOD(TRUNC(A3/10),10)</f>
        <v>2</v>
      </c>
      <c r="C3">
        <f t="shared" ref="C3:C19" si="1">MOD(TRUNC(A3),10)</f>
        <v>6</v>
      </c>
      <c r="E3">
        <f ca="1">INDIRECT("C"&amp;INT(ROW()/2)+1)</f>
        <v>6</v>
      </c>
      <c r="F3">
        <f ca="1">(E3+F2)- 8*TRUNC((E3+F2)/8)</f>
        <v>0</v>
      </c>
      <c r="H3">
        <f ca="1">VLOOKUP(F3,dirLookupTbl[],2,FALSE)</f>
        <v>0</v>
      </c>
      <c r="I3">
        <f ca="1">VLOOKUP(F3,dirLookupTbl[],3,FALSE)</f>
        <v>1</v>
      </c>
      <c r="K3">
        <f ca="1">K2+H3</f>
        <v>1</v>
      </c>
      <c r="L3">
        <f ca="1">L2+I3</f>
        <v>1</v>
      </c>
    </row>
    <row r="4" spans="1:12">
      <c r="A4">
        <v>62</v>
      </c>
      <c r="B4">
        <f t="shared" si="0"/>
        <v>6</v>
      </c>
      <c r="C4">
        <f t="shared" si="1"/>
        <v>2</v>
      </c>
      <c r="E4">
        <f t="shared" ref="E4" ca="1" si="2">INDIRECT("B"&amp;INT(ROW()/2)+1)</f>
        <v>2</v>
      </c>
      <c r="F4">
        <f t="shared" ref="F4:F37" ca="1" si="3">(E4+F3)- 8*TRUNC((E4+F3)/8)</f>
        <v>2</v>
      </c>
      <c r="H4">
        <f ca="1">VLOOKUP(F4,dirLookupTbl[],2,FALSE)</f>
        <v>1</v>
      </c>
      <c r="I4">
        <f ca="1">VLOOKUP(F4,dirLookupTbl[],3,FALSE)</f>
        <v>0</v>
      </c>
      <c r="K4">
        <f t="shared" ref="K4:K19" ca="1" si="4">K3+H4</f>
        <v>2</v>
      </c>
      <c r="L4">
        <f t="shared" ref="L4:L19" ca="1" si="5">L3+I4</f>
        <v>1</v>
      </c>
    </row>
    <row r="5" spans="1:12">
      <c r="A5">
        <v>66</v>
      </c>
      <c r="B5">
        <f t="shared" si="0"/>
        <v>6</v>
      </c>
      <c r="C5">
        <f t="shared" si="1"/>
        <v>6</v>
      </c>
      <c r="E5">
        <f t="shared" ref="E5" ca="1" si="6">INDIRECT("C"&amp;INT(ROW()/2)+1)</f>
        <v>6</v>
      </c>
      <c r="F5">
        <f t="shared" ca="1" si="3"/>
        <v>0</v>
      </c>
      <c r="H5">
        <f ca="1">VLOOKUP(F5,dirLookupTbl[],2,FALSE)</f>
        <v>0</v>
      </c>
      <c r="I5">
        <f ca="1">VLOOKUP(F5,dirLookupTbl[],3,FALSE)</f>
        <v>1</v>
      </c>
      <c r="K5">
        <f t="shared" ca="1" si="4"/>
        <v>2</v>
      </c>
      <c r="L5">
        <f t="shared" ca="1" si="5"/>
        <v>2</v>
      </c>
    </row>
    <row r="6" spans="1:12">
      <c r="A6">
        <v>20</v>
      </c>
      <c r="B6">
        <f t="shared" si="0"/>
        <v>2</v>
      </c>
      <c r="C6">
        <f t="shared" si="1"/>
        <v>0</v>
      </c>
      <c r="E6">
        <f t="shared" ref="E6" ca="1" si="7">INDIRECT("B"&amp;INT(ROW()/2)+1)</f>
        <v>6</v>
      </c>
      <c r="F6">
        <f t="shared" ca="1" si="3"/>
        <v>6</v>
      </c>
      <c r="H6">
        <f ca="1">VLOOKUP(F6,dirLookupTbl[],2,FALSE)</f>
        <v>-1</v>
      </c>
      <c r="I6">
        <f ca="1">VLOOKUP(F6,dirLookupTbl[],3,FALSE)</f>
        <v>0</v>
      </c>
      <c r="K6">
        <f t="shared" ca="1" si="4"/>
        <v>1</v>
      </c>
      <c r="L6">
        <f t="shared" ca="1" si="5"/>
        <v>2</v>
      </c>
    </row>
    <row r="7" spans="1:12">
      <c r="A7">
        <v>62</v>
      </c>
      <c r="B7">
        <f t="shared" si="0"/>
        <v>6</v>
      </c>
      <c r="C7">
        <f t="shared" si="1"/>
        <v>2</v>
      </c>
      <c r="E7">
        <f t="shared" ref="E7" ca="1" si="8">INDIRECT("C"&amp;INT(ROW()/2)+1)</f>
        <v>2</v>
      </c>
      <c r="F7">
        <f t="shared" ca="1" si="3"/>
        <v>0</v>
      </c>
      <c r="H7">
        <f ca="1">VLOOKUP(F7,dirLookupTbl[],2,FALSE)</f>
        <v>0</v>
      </c>
      <c r="I7">
        <f ca="1">VLOOKUP(F7,dirLookupTbl[],3,FALSE)</f>
        <v>1</v>
      </c>
      <c r="K7">
        <f t="shared" ca="1" si="4"/>
        <v>1</v>
      </c>
      <c r="L7">
        <f t="shared" ca="1" si="5"/>
        <v>3</v>
      </c>
    </row>
    <row r="8" spans="1:12">
      <c r="A8">
        <v>61</v>
      </c>
      <c r="B8">
        <f t="shared" si="0"/>
        <v>6</v>
      </c>
      <c r="C8">
        <f t="shared" si="1"/>
        <v>1</v>
      </c>
      <c r="E8">
        <f t="shared" ref="E8" ca="1" si="9">INDIRECT("B"&amp;INT(ROW()/2)+1)</f>
        <v>6</v>
      </c>
      <c r="F8">
        <f t="shared" ca="1" si="3"/>
        <v>6</v>
      </c>
      <c r="H8">
        <f ca="1">VLOOKUP(F8,dirLookupTbl[],2,FALSE)</f>
        <v>-1</v>
      </c>
      <c r="I8">
        <f ca="1">VLOOKUP(F8,dirLookupTbl[],3,FALSE)</f>
        <v>0</v>
      </c>
      <c r="K8">
        <f t="shared" ca="1" si="4"/>
        <v>0</v>
      </c>
      <c r="L8">
        <f t="shared" ca="1" si="5"/>
        <v>3</v>
      </c>
    </row>
    <row r="9" spans="1:12">
      <c r="A9">
        <v>70</v>
      </c>
      <c r="B9">
        <f t="shared" si="0"/>
        <v>7</v>
      </c>
      <c r="C9">
        <f t="shared" si="1"/>
        <v>0</v>
      </c>
      <c r="E9">
        <f t="shared" ref="E9" ca="1" si="10">INDIRECT("C"&amp;INT(ROW()/2)+1)</f>
        <v>6</v>
      </c>
      <c r="F9">
        <f t="shared" ca="1" si="3"/>
        <v>4</v>
      </c>
      <c r="H9">
        <f ca="1">VLOOKUP(F9,dirLookupTbl[],2,FALSE)</f>
        <v>0</v>
      </c>
      <c r="I9">
        <f ca="1">VLOOKUP(F9,dirLookupTbl[],3,FALSE)</f>
        <v>-1</v>
      </c>
      <c r="K9">
        <f t="shared" ca="1" si="4"/>
        <v>0</v>
      </c>
      <c r="L9">
        <f t="shared" ca="1" si="5"/>
        <v>2</v>
      </c>
    </row>
    <row r="10" spans="1:12">
      <c r="A10">
        <v>26</v>
      </c>
      <c r="B10">
        <f t="shared" si="0"/>
        <v>2</v>
      </c>
      <c r="C10">
        <f t="shared" si="1"/>
        <v>6</v>
      </c>
      <c r="E10">
        <f t="shared" ref="E10" ca="1" si="11">INDIRECT("B"&amp;INT(ROW()/2)+1)</f>
        <v>2</v>
      </c>
      <c r="F10">
        <f t="shared" ca="1" si="3"/>
        <v>6</v>
      </c>
      <c r="H10">
        <f ca="1">VLOOKUP(F10,dirLookupTbl[],2,FALSE)</f>
        <v>-1</v>
      </c>
      <c r="I10">
        <f ca="1">VLOOKUP(F10,dirLookupTbl[],3,FALSE)</f>
        <v>0</v>
      </c>
      <c r="K10">
        <f t="shared" ca="1" si="4"/>
        <v>-1</v>
      </c>
      <c r="L10">
        <f t="shared" ca="1" si="5"/>
        <v>2</v>
      </c>
    </row>
    <row r="11" spans="1:12">
      <c r="A11">
        <v>62</v>
      </c>
      <c r="B11">
        <f t="shared" si="0"/>
        <v>6</v>
      </c>
      <c r="C11">
        <f t="shared" si="1"/>
        <v>2</v>
      </c>
      <c r="E11">
        <f t="shared" ref="E11" ca="1" si="12">INDIRECT("C"&amp;INT(ROW()/2)+1)</f>
        <v>0</v>
      </c>
      <c r="F11">
        <f t="shared" ca="1" si="3"/>
        <v>6</v>
      </c>
      <c r="H11">
        <f ca="1">VLOOKUP(F11,dirLookupTbl[],2,FALSE)</f>
        <v>-1</v>
      </c>
      <c r="I11">
        <f ca="1">VLOOKUP(F11,dirLookupTbl[],3,FALSE)</f>
        <v>0</v>
      </c>
      <c r="K11">
        <f t="shared" ca="1" si="4"/>
        <v>-2</v>
      </c>
      <c r="L11">
        <f t="shared" ca="1" si="5"/>
        <v>2</v>
      </c>
    </row>
    <row r="12" spans="1:12">
      <c r="A12">
        <v>25</v>
      </c>
      <c r="B12">
        <f t="shared" si="0"/>
        <v>2</v>
      </c>
      <c r="C12">
        <f t="shared" si="1"/>
        <v>5</v>
      </c>
      <c r="E12">
        <f t="shared" ref="E12" ca="1" si="13">INDIRECT("B"&amp;INT(ROW()/2)+1)</f>
        <v>6</v>
      </c>
      <c r="F12">
        <f t="shared" ca="1" si="3"/>
        <v>4</v>
      </c>
      <c r="H12">
        <f ca="1">VLOOKUP(F12,dirLookupTbl[],2,FALSE)</f>
        <v>0</v>
      </c>
      <c r="I12">
        <f ca="1">VLOOKUP(F12,dirLookupTbl[],3,FALSE)</f>
        <v>-1</v>
      </c>
      <c r="K12">
        <f t="shared" ca="1" si="4"/>
        <v>-2</v>
      </c>
      <c r="L12">
        <f t="shared" ca="1" si="5"/>
        <v>1</v>
      </c>
    </row>
    <row r="13" spans="1:12">
      <c r="A13">
        <v>70</v>
      </c>
      <c r="B13">
        <f t="shared" si="0"/>
        <v>7</v>
      </c>
      <c r="C13">
        <f t="shared" si="1"/>
        <v>0</v>
      </c>
      <c r="E13">
        <f t="shared" ref="E13" ca="1" si="14">INDIRECT("C"&amp;INT(ROW()/2)+1)</f>
        <v>2</v>
      </c>
      <c r="F13">
        <f t="shared" ca="1" si="3"/>
        <v>6</v>
      </c>
      <c r="H13">
        <f ca="1">VLOOKUP(F13,dirLookupTbl[],2,FALSE)</f>
        <v>-1</v>
      </c>
      <c r="I13">
        <f ca="1">VLOOKUP(F13,dirLookupTbl[],3,FALSE)</f>
        <v>0</v>
      </c>
      <c r="K13">
        <f t="shared" ca="1" si="4"/>
        <v>-3</v>
      </c>
      <c r="L13">
        <f t="shared" ca="1" si="5"/>
        <v>1</v>
      </c>
    </row>
    <row r="14" spans="1:12">
      <c r="A14">
        <v>62</v>
      </c>
      <c r="B14">
        <f t="shared" si="0"/>
        <v>6</v>
      </c>
      <c r="C14">
        <f t="shared" si="1"/>
        <v>2</v>
      </c>
      <c r="E14">
        <f t="shared" ref="E14" ca="1" si="15">INDIRECT("B"&amp;INT(ROW()/2)+1)</f>
        <v>6</v>
      </c>
      <c r="F14">
        <f t="shared" ca="1" si="3"/>
        <v>4</v>
      </c>
      <c r="H14">
        <f ca="1">VLOOKUP(F14,dirLookupTbl[],2,FALSE)</f>
        <v>0</v>
      </c>
      <c r="I14">
        <f ca="1">VLOOKUP(F14,dirLookupTbl[],3,FALSE)</f>
        <v>-1</v>
      </c>
      <c r="K14">
        <f t="shared" ca="1" si="4"/>
        <v>-3</v>
      </c>
      <c r="L14">
        <f t="shared" ca="1" si="5"/>
        <v>0</v>
      </c>
    </row>
    <row r="15" spans="1:12">
      <c r="A15">
        <v>6</v>
      </c>
      <c r="B15">
        <f t="shared" si="0"/>
        <v>0</v>
      </c>
      <c r="C15">
        <f t="shared" si="1"/>
        <v>6</v>
      </c>
      <c r="E15">
        <f t="shared" ref="E15" ca="1" si="16">INDIRECT("C"&amp;INT(ROW()/2)+1)</f>
        <v>1</v>
      </c>
      <c r="F15">
        <f t="shared" ca="1" si="3"/>
        <v>5</v>
      </c>
      <c r="H15">
        <f ca="1">VLOOKUP(F15,dirLookupTbl[],2,FALSE)</f>
        <v>-1</v>
      </c>
      <c r="I15">
        <f ca="1">VLOOKUP(F15,dirLookupTbl[],3,FALSE)</f>
        <v>-1</v>
      </c>
      <c r="K15">
        <f t="shared" ca="1" si="4"/>
        <v>-4</v>
      </c>
      <c r="L15">
        <f t="shared" ca="1" si="5"/>
        <v>-1</v>
      </c>
    </row>
    <row r="16" spans="1:12">
      <c r="A16">
        <v>14</v>
      </c>
      <c r="B16">
        <f t="shared" si="0"/>
        <v>1</v>
      </c>
      <c r="C16">
        <f t="shared" si="1"/>
        <v>4</v>
      </c>
      <c r="E16">
        <f t="shared" ref="E16" ca="1" si="17">INDIRECT("B"&amp;INT(ROW()/2)+1)</f>
        <v>7</v>
      </c>
      <c r="F16">
        <f t="shared" ca="1" si="3"/>
        <v>4</v>
      </c>
      <c r="H16">
        <f ca="1">VLOOKUP(F16,dirLookupTbl[],2,FALSE)</f>
        <v>0</v>
      </c>
      <c r="I16">
        <f ca="1">VLOOKUP(F16,dirLookupTbl[],3,FALSE)</f>
        <v>-1</v>
      </c>
      <c r="K16">
        <f t="shared" ca="1" si="4"/>
        <v>-4</v>
      </c>
      <c r="L16">
        <f t="shared" ca="1" si="5"/>
        <v>-2</v>
      </c>
    </row>
    <row r="17" spans="1:12">
      <c r="A17">
        <v>72</v>
      </c>
      <c r="B17">
        <f t="shared" si="0"/>
        <v>7</v>
      </c>
      <c r="C17">
        <f t="shared" si="1"/>
        <v>2</v>
      </c>
      <c r="E17">
        <f t="shared" ref="E17" ca="1" si="18">INDIRECT("C"&amp;INT(ROW()/2)+1)</f>
        <v>0</v>
      </c>
      <c r="F17">
        <f t="shared" ca="1" si="3"/>
        <v>4</v>
      </c>
      <c r="H17">
        <f ca="1">VLOOKUP(F17,dirLookupTbl[],2,FALSE)</f>
        <v>0</v>
      </c>
      <c r="I17">
        <f ca="1">VLOOKUP(F17,dirLookupTbl[],3,FALSE)</f>
        <v>-1</v>
      </c>
      <c r="K17">
        <f t="shared" ca="1" si="4"/>
        <v>-4</v>
      </c>
      <c r="L17">
        <f t="shared" ca="1" si="5"/>
        <v>-3</v>
      </c>
    </row>
    <row r="18" spans="1:12">
      <c r="A18">
        <v>60</v>
      </c>
      <c r="B18">
        <f t="shared" si="0"/>
        <v>6</v>
      </c>
      <c r="C18">
        <f t="shared" si="1"/>
        <v>0</v>
      </c>
      <c r="E18">
        <f t="shared" ref="E18" ca="1" si="19">INDIRECT("B"&amp;INT(ROW()/2)+1)</f>
        <v>2</v>
      </c>
      <c r="F18">
        <f t="shared" ca="1" si="3"/>
        <v>6</v>
      </c>
      <c r="H18">
        <f ca="1">VLOOKUP(F18,dirLookupTbl[],2,FALSE)</f>
        <v>-1</v>
      </c>
      <c r="I18">
        <f ca="1">VLOOKUP(F18,dirLookupTbl[],3,FALSE)</f>
        <v>0</v>
      </c>
      <c r="K18">
        <f t="shared" ca="1" si="4"/>
        <v>-5</v>
      </c>
      <c r="L18">
        <f t="shared" ca="1" si="5"/>
        <v>-3</v>
      </c>
    </row>
    <row r="19" spans="1:12">
      <c r="A19">
        <v>10</v>
      </c>
      <c r="B19">
        <f t="shared" si="0"/>
        <v>1</v>
      </c>
      <c r="C19">
        <f t="shared" si="1"/>
        <v>0</v>
      </c>
      <c r="E19">
        <f t="shared" ref="E19" ca="1" si="20">INDIRECT("C"&amp;INT(ROW()/2)+1)</f>
        <v>6</v>
      </c>
      <c r="F19">
        <f t="shared" ca="1" si="3"/>
        <v>4</v>
      </c>
      <c r="H19">
        <f ca="1">VLOOKUP(F19,dirLookupTbl[],2,FALSE)</f>
        <v>0</v>
      </c>
      <c r="I19">
        <f ca="1">VLOOKUP(F19,dirLookupTbl[],3,FALSE)</f>
        <v>-1</v>
      </c>
      <c r="K19">
        <f t="shared" ca="1" si="4"/>
        <v>-5</v>
      </c>
      <c r="L19">
        <f t="shared" ca="1" si="5"/>
        <v>-4</v>
      </c>
    </row>
    <row r="20" spans="1:12">
      <c r="E20">
        <f t="shared" ref="E20" ca="1" si="21">INDIRECT("B"&amp;INT(ROW()/2)+1)</f>
        <v>6</v>
      </c>
      <c r="F20">
        <f t="shared" ca="1" si="3"/>
        <v>2</v>
      </c>
      <c r="H20">
        <f ca="1">VLOOKUP(F20,dirLookupTbl[],2,FALSE)</f>
        <v>1</v>
      </c>
      <c r="I20">
        <f ca="1">VLOOKUP(F20,dirLookupTbl[],3,FALSE)</f>
        <v>0</v>
      </c>
      <c r="K20">
        <f t="shared" ref="K20:K37" ca="1" si="22">K19+H20</f>
        <v>-4</v>
      </c>
      <c r="L20">
        <f t="shared" ref="L20:L37" ca="1" si="23">L19+I20</f>
        <v>-4</v>
      </c>
    </row>
    <row r="21" spans="1:12">
      <c r="E21">
        <f t="shared" ref="E21" ca="1" si="24">INDIRECT("C"&amp;INT(ROW()/2)+1)</f>
        <v>2</v>
      </c>
      <c r="F21">
        <f t="shared" ca="1" si="3"/>
        <v>4</v>
      </c>
      <c r="H21">
        <f ca="1">VLOOKUP(F21,dirLookupTbl[],2,FALSE)</f>
        <v>0</v>
      </c>
      <c r="I21">
        <f ca="1">VLOOKUP(F21,dirLookupTbl[],3,FALSE)</f>
        <v>-1</v>
      </c>
      <c r="K21">
        <f t="shared" ca="1" si="22"/>
        <v>-4</v>
      </c>
      <c r="L21">
        <f t="shared" ca="1" si="23"/>
        <v>-5</v>
      </c>
    </row>
    <row r="22" spans="1:12">
      <c r="E22">
        <f t="shared" ref="E22" ca="1" si="25">INDIRECT("B"&amp;INT(ROW()/2)+1)</f>
        <v>2</v>
      </c>
      <c r="F22">
        <f t="shared" ca="1" si="3"/>
        <v>6</v>
      </c>
      <c r="H22">
        <f ca="1">VLOOKUP(F22,dirLookupTbl[],2,FALSE)</f>
        <v>-1</v>
      </c>
      <c r="I22">
        <f ca="1">VLOOKUP(F22,dirLookupTbl[],3,FALSE)</f>
        <v>0</v>
      </c>
      <c r="K22">
        <f t="shared" ca="1" si="22"/>
        <v>-5</v>
      </c>
      <c r="L22">
        <f t="shared" ca="1" si="23"/>
        <v>-5</v>
      </c>
    </row>
    <row r="23" spans="1:12">
      <c r="E23">
        <f t="shared" ref="E23" ca="1" si="26">INDIRECT("C"&amp;INT(ROW()/2)+1)</f>
        <v>5</v>
      </c>
      <c r="F23">
        <f t="shared" ca="1" si="3"/>
        <v>3</v>
      </c>
      <c r="H23">
        <f ca="1">VLOOKUP(F23,dirLookupTbl[],2,FALSE)</f>
        <v>1</v>
      </c>
      <c r="I23">
        <f ca="1">VLOOKUP(F23,dirLookupTbl[],3,FALSE)</f>
        <v>-1</v>
      </c>
      <c r="K23">
        <f t="shared" ca="1" si="22"/>
        <v>-4</v>
      </c>
      <c r="L23">
        <f t="shared" ca="1" si="23"/>
        <v>-6</v>
      </c>
    </row>
    <row r="24" spans="1:12">
      <c r="E24">
        <f t="shared" ref="E24" ca="1" si="27">INDIRECT("B"&amp;INT(ROW()/2)+1)</f>
        <v>7</v>
      </c>
      <c r="F24">
        <f t="shared" ca="1" si="3"/>
        <v>2</v>
      </c>
      <c r="H24">
        <f ca="1">VLOOKUP(F24,dirLookupTbl[],2,FALSE)</f>
        <v>1</v>
      </c>
      <c r="I24">
        <f ca="1">VLOOKUP(F24,dirLookupTbl[],3,FALSE)</f>
        <v>0</v>
      </c>
      <c r="K24">
        <f t="shared" ca="1" si="22"/>
        <v>-3</v>
      </c>
      <c r="L24">
        <f t="shared" ca="1" si="23"/>
        <v>-6</v>
      </c>
    </row>
    <row r="25" spans="1:12">
      <c r="E25">
        <f t="shared" ref="E25" ca="1" si="28">INDIRECT("C"&amp;INT(ROW()/2)+1)</f>
        <v>0</v>
      </c>
      <c r="F25">
        <f t="shared" ca="1" si="3"/>
        <v>2</v>
      </c>
      <c r="H25">
        <f ca="1">VLOOKUP(F25,dirLookupTbl[],2,FALSE)</f>
        <v>1</v>
      </c>
      <c r="I25">
        <f ca="1">VLOOKUP(F25,dirLookupTbl[],3,FALSE)</f>
        <v>0</v>
      </c>
      <c r="K25">
        <f t="shared" ca="1" si="22"/>
        <v>-2</v>
      </c>
      <c r="L25">
        <f t="shared" ca="1" si="23"/>
        <v>-6</v>
      </c>
    </row>
    <row r="26" spans="1:12">
      <c r="E26">
        <f t="shared" ref="E26" ca="1" si="29">INDIRECT("B"&amp;INT(ROW()/2)+1)</f>
        <v>6</v>
      </c>
      <c r="F26">
        <f t="shared" ca="1" si="3"/>
        <v>0</v>
      </c>
      <c r="H26">
        <f ca="1">VLOOKUP(F26,dirLookupTbl[],2,FALSE)</f>
        <v>0</v>
      </c>
      <c r="I26">
        <f ca="1">VLOOKUP(F26,dirLookupTbl[],3,FALSE)</f>
        <v>1</v>
      </c>
      <c r="K26">
        <f t="shared" ca="1" si="22"/>
        <v>-2</v>
      </c>
      <c r="L26">
        <f t="shared" ca="1" si="23"/>
        <v>-5</v>
      </c>
    </row>
    <row r="27" spans="1:12">
      <c r="E27">
        <f t="shared" ref="E27" ca="1" si="30">INDIRECT("C"&amp;INT(ROW()/2)+1)</f>
        <v>2</v>
      </c>
      <c r="F27">
        <f t="shared" ca="1" si="3"/>
        <v>2</v>
      </c>
      <c r="H27">
        <f ca="1">VLOOKUP(F27,dirLookupTbl[],2,FALSE)</f>
        <v>1</v>
      </c>
      <c r="I27">
        <f ca="1">VLOOKUP(F27,dirLookupTbl[],3,FALSE)</f>
        <v>0</v>
      </c>
      <c r="K27">
        <f t="shared" ca="1" si="22"/>
        <v>-1</v>
      </c>
      <c r="L27">
        <f t="shared" ca="1" si="23"/>
        <v>-5</v>
      </c>
    </row>
    <row r="28" spans="1:12">
      <c r="E28">
        <f t="shared" ref="E28" ca="1" si="31">INDIRECT("B"&amp;INT(ROW()/2)+1)</f>
        <v>0</v>
      </c>
      <c r="F28">
        <f t="shared" ca="1" si="3"/>
        <v>2</v>
      </c>
      <c r="H28">
        <f ca="1">VLOOKUP(F28,dirLookupTbl[],2,FALSE)</f>
        <v>1</v>
      </c>
      <c r="I28">
        <f ca="1">VLOOKUP(F28,dirLookupTbl[],3,FALSE)</f>
        <v>0</v>
      </c>
      <c r="K28">
        <f t="shared" ca="1" si="22"/>
        <v>0</v>
      </c>
      <c r="L28">
        <f t="shared" ca="1" si="23"/>
        <v>-5</v>
      </c>
    </row>
    <row r="29" spans="1:12">
      <c r="E29">
        <f t="shared" ref="E29" ca="1" si="32">INDIRECT("C"&amp;INT(ROW()/2)+1)</f>
        <v>6</v>
      </c>
      <c r="F29">
        <f t="shared" ca="1" si="3"/>
        <v>0</v>
      </c>
      <c r="H29">
        <f ca="1">VLOOKUP(F29,dirLookupTbl[],2,FALSE)</f>
        <v>0</v>
      </c>
      <c r="I29">
        <f ca="1">VLOOKUP(F29,dirLookupTbl[],3,FALSE)</f>
        <v>1</v>
      </c>
      <c r="K29">
        <f t="shared" ca="1" si="22"/>
        <v>0</v>
      </c>
      <c r="L29">
        <f t="shared" ca="1" si="23"/>
        <v>-4</v>
      </c>
    </row>
    <row r="30" spans="1:12">
      <c r="E30">
        <f t="shared" ref="E30" ca="1" si="33">INDIRECT("B"&amp;INT(ROW()/2)+1)</f>
        <v>1</v>
      </c>
      <c r="F30">
        <f t="shared" ca="1" si="3"/>
        <v>1</v>
      </c>
      <c r="H30">
        <f ca="1">VLOOKUP(F30,dirLookupTbl[],2,FALSE)</f>
        <v>1</v>
      </c>
      <c r="I30">
        <f ca="1">VLOOKUP(F30,dirLookupTbl[],3,FALSE)</f>
        <v>1</v>
      </c>
      <c r="K30">
        <f t="shared" ca="1" si="22"/>
        <v>1</v>
      </c>
      <c r="L30">
        <f t="shared" ca="1" si="23"/>
        <v>-3</v>
      </c>
    </row>
    <row r="31" spans="1:12">
      <c r="E31">
        <f t="shared" ref="E31" ca="1" si="34">INDIRECT("C"&amp;INT(ROW()/2)+1)</f>
        <v>4</v>
      </c>
      <c r="F31">
        <f t="shared" ca="1" si="3"/>
        <v>5</v>
      </c>
      <c r="H31">
        <f ca="1">VLOOKUP(F31,dirLookupTbl[],2,FALSE)</f>
        <v>-1</v>
      </c>
      <c r="I31">
        <f ca="1">VLOOKUP(F31,dirLookupTbl[],3,FALSE)</f>
        <v>-1</v>
      </c>
      <c r="K31">
        <f t="shared" ca="1" si="22"/>
        <v>0</v>
      </c>
      <c r="L31">
        <f t="shared" ca="1" si="23"/>
        <v>-4</v>
      </c>
    </row>
    <row r="32" spans="1:12">
      <c r="E32">
        <f t="shared" ref="E32" ca="1" si="35">INDIRECT("B"&amp;INT(ROW()/2)+1)</f>
        <v>7</v>
      </c>
      <c r="F32">
        <f t="shared" ca="1" si="3"/>
        <v>4</v>
      </c>
      <c r="H32">
        <f ca="1">VLOOKUP(F32,dirLookupTbl[],2,FALSE)</f>
        <v>0</v>
      </c>
      <c r="I32">
        <f ca="1">VLOOKUP(F32,dirLookupTbl[],3,FALSE)</f>
        <v>-1</v>
      </c>
      <c r="K32">
        <f t="shared" ca="1" si="22"/>
        <v>0</v>
      </c>
      <c r="L32">
        <f t="shared" ca="1" si="23"/>
        <v>-5</v>
      </c>
    </row>
    <row r="33" spans="5:12">
      <c r="E33">
        <f t="shared" ref="E33" ca="1" si="36">INDIRECT("C"&amp;INT(ROW()/2)+1)</f>
        <v>2</v>
      </c>
      <c r="F33">
        <f t="shared" ca="1" si="3"/>
        <v>6</v>
      </c>
      <c r="H33">
        <f ca="1">VLOOKUP(F33,dirLookupTbl[],2,FALSE)</f>
        <v>-1</v>
      </c>
      <c r="I33">
        <f ca="1">VLOOKUP(F33,dirLookupTbl[],3,FALSE)</f>
        <v>0</v>
      </c>
      <c r="K33">
        <f t="shared" ca="1" si="22"/>
        <v>-1</v>
      </c>
      <c r="L33">
        <f t="shared" ca="1" si="23"/>
        <v>-5</v>
      </c>
    </row>
    <row r="34" spans="5:12">
      <c r="E34">
        <f t="shared" ref="E34" ca="1" si="37">INDIRECT("B"&amp;INT(ROW()/2)+1)</f>
        <v>6</v>
      </c>
      <c r="F34">
        <f t="shared" ca="1" si="3"/>
        <v>4</v>
      </c>
      <c r="H34">
        <f ca="1">VLOOKUP(F34,dirLookupTbl[],2,FALSE)</f>
        <v>0</v>
      </c>
      <c r="I34">
        <f ca="1">VLOOKUP(F34,dirLookupTbl[],3,FALSE)</f>
        <v>-1</v>
      </c>
      <c r="K34">
        <f t="shared" ca="1" si="22"/>
        <v>-1</v>
      </c>
      <c r="L34">
        <f t="shared" ca="1" si="23"/>
        <v>-6</v>
      </c>
    </row>
    <row r="35" spans="5:12">
      <c r="E35">
        <f t="shared" ref="E35" ca="1" si="38">INDIRECT("C"&amp;INT(ROW()/2)+1)</f>
        <v>0</v>
      </c>
      <c r="F35">
        <f t="shared" ca="1" si="3"/>
        <v>4</v>
      </c>
      <c r="H35">
        <f ca="1">VLOOKUP(F35,dirLookupTbl[],2,FALSE)</f>
        <v>0</v>
      </c>
      <c r="I35">
        <f ca="1">VLOOKUP(F35,dirLookupTbl[],3,FALSE)</f>
        <v>-1</v>
      </c>
      <c r="K35">
        <f t="shared" ca="1" si="22"/>
        <v>-1</v>
      </c>
      <c r="L35">
        <f t="shared" ca="1" si="23"/>
        <v>-7</v>
      </c>
    </row>
    <row r="36" spans="5:12">
      <c r="E36">
        <f t="shared" ref="E36" ca="1" si="39">INDIRECT("B"&amp;INT(ROW()/2)+1)</f>
        <v>1</v>
      </c>
      <c r="F36">
        <f t="shared" ca="1" si="3"/>
        <v>5</v>
      </c>
      <c r="H36">
        <f ca="1">VLOOKUP(F36,dirLookupTbl[],2,FALSE)</f>
        <v>-1</v>
      </c>
      <c r="I36">
        <f ca="1">VLOOKUP(F36,dirLookupTbl[],3,FALSE)</f>
        <v>-1</v>
      </c>
      <c r="K36">
        <f t="shared" ca="1" si="22"/>
        <v>-2</v>
      </c>
      <c r="L36">
        <f t="shared" ca="1" si="23"/>
        <v>-8</v>
      </c>
    </row>
    <row r="37" spans="5:12">
      <c r="E37">
        <f t="shared" ref="E37" ca="1" si="40">INDIRECT("C"&amp;INT(ROW()/2)+1)</f>
        <v>0</v>
      </c>
      <c r="F37">
        <f t="shared" ca="1" si="3"/>
        <v>5</v>
      </c>
      <c r="H37">
        <f ca="1">VLOOKUP(F37,dirLookupTbl[],2,FALSE)</f>
        <v>-1</v>
      </c>
      <c r="I37">
        <f ca="1">VLOOKUP(F37,dirLookupTbl[],3,FALSE)</f>
        <v>-1</v>
      </c>
      <c r="K37">
        <f t="shared" ca="1" si="22"/>
        <v>-3</v>
      </c>
      <c r="L37">
        <f t="shared" ca="1" si="23"/>
        <v>-9</v>
      </c>
    </row>
  </sheetData>
  <pageMargins left="0.7" right="0.7" top="0.75" bottom="0.75" header="0.3" footer="0.3"/>
  <pageSetup orientation="portrait" horizontalDpi="200" verticalDpi="200" copies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1:AH39"/>
  <sheetViews>
    <sheetView tabSelected="1" workbookViewId="0">
      <selection activeCell="J40" sqref="J40"/>
    </sheetView>
  </sheetViews>
  <sheetFormatPr defaultRowHeight="15"/>
  <cols>
    <col min="12" max="12" width="9.140625" style="7"/>
    <col min="14" max="14" width="9.5703125" customWidth="1"/>
  </cols>
  <sheetData>
    <row r="1" spans="1:34">
      <c r="A1" s="2" t="s">
        <v>2</v>
      </c>
      <c r="B1" s="2" t="s">
        <v>3</v>
      </c>
      <c r="D1" s="2" t="s">
        <v>4</v>
      </c>
      <c r="E1" s="2" t="s">
        <v>5</v>
      </c>
      <c r="G1" s="2" t="s">
        <v>10</v>
      </c>
      <c r="H1" s="2" t="s">
        <v>9</v>
      </c>
      <c r="J1" s="2" t="s">
        <v>7</v>
      </c>
      <c r="K1" s="2" t="s">
        <v>8</v>
      </c>
      <c r="L1" s="6" t="s">
        <v>0</v>
      </c>
    </row>
    <row r="2" spans="1:34">
      <c r="A2">
        <v>1</v>
      </c>
      <c r="B2">
        <v>0</v>
      </c>
      <c r="D2">
        <f>A2</f>
        <v>1</v>
      </c>
      <c r="E2">
        <f>B2</f>
        <v>0</v>
      </c>
      <c r="G2">
        <f>VLOOKUP(A2&amp;B2,dxdyLookupTbl[],2,FALSE)</f>
        <v>2</v>
      </c>
      <c r="H2">
        <f>G2</f>
        <v>2</v>
      </c>
      <c r="J2">
        <f ca="1">INDIRECT("H"&amp;INT(ROW()*2))</f>
        <v>2</v>
      </c>
      <c r="K2">
        <f ca="1">INDIRECT("H"&amp;INT(ROW()*2)+1)</f>
        <v>6</v>
      </c>
      <c r="L2" s="7">
        <f ca="1">J2*10+K2</f>
        <v>26</v>
      </c>
      <c r="AE2" s="7"/>
      <c r="AF2" s="7"/>
      <c r="AG2" s="7"/>
      <c r="AH2" s="7"/>
    </row>
    <row r="3" spans="1:34">
      <c r="A3">
        <v>0</v>
      </c>
      <c r="B3">
        <v>1</v>
      </c>
      <c r="D3">
        <f>D2+A3</f>
        <v>1</v>
      </c>
      <c r="E3">
        <f>E2+B3</f>
        <v>1</v>
      </c>
      <c r="G3">
        <f>VLOOKUP(A3&amp;B3,dxdyLookupTbl[],2,FALSE)</f>
        <v>0</v>
      </c>
      <c r="H3">
        <f>IF(G3&lt;G2,8+G3-G2,G3-G2)</f>
        <v>6</v>
      </c>
      <c r="J3">
        <f t="shared" ref="J3:J18" ca="1" si="0">INDIRECT("H"&amp;INT(ROW()*2))</f>
        <v>6</v>
      </c>
      <c r="K3">
        <f t="shared" ref="K3:K18" ca="1" si="1">INDIRECT("H"&amp;INT(ROW()*2)+1)</f>
        <v>2</v>
      </c>
      <c r="L3" s="7">
        <f t="shared" ref="L3:L18" ca="1" si="2">J3*10+K3</f>
        <v>62</v>
      </c>
    </row>
    <row r="4" spans="1:34">
      <c r="A4">
        <v>1</v>
      </c>
      <c r="B4">
        <v>0</v>
      </c>
      <c r="D4">
        <f t="shared" ref="D4:E19" si="3">D3+A4</f>
        <v>2</v>
      </c>
      <c r="E4">
        <f t="shared" si="3"/>
        <v>1</v>
      </c>
      <c r="G4">
        <f>VLOOKUP(A4&amp;B4,dxdyLookupTbl[],2,FALSE)</f>
        <v>2</v>
      </c>
      <c r="H4">
        <f t="shared" ref="H4:H37" si="4">IF(G4&lt;G3,8+G4-G3,G4-G3)</f>
        <v>2</v>
      </c>
      <c r="J4">
        <f t="shared" ca="1" si="0"/>
        <v>6</v>
      </c>
      <c r="K4">
        <f t="shared" ca="1" si="1"/>
        <v>6</v>
      </c>
      <c r="L4" s="7">
        <f t="shared" ca="1" si="2"/>
        <v>66</v>
      </c>
    </row>
    <row r="5" spans="1:34">
      <c r="A5">
        <v>0</v>
      </c>
      <c r="B5">
        <v>1</v>
      </c>
      <c r="D5">
        <f t="shared" si="3"/>
        <v>2</v>
      </c>
      <c r="E5">
        <f t="shared" si="3"/>
        <v>2</v>
      </c>
      <c r="G5">
        <f>VLOOKUP(A5&amp;B5,dxdyLookupTbl[],2,FALSE)</f>
        <v>0</v>
      </c>
      <c r="H5">
        <f t="shared" si="4"/>
        <v>6</v>
      </c>
      <c r="J5">
        <f t="shared" ca="1" si="0"/>
        <v>2</v>
      </c>
      <c r="K5">
        <f t="shared" ca="1" si="1"/>
        <v>0</v>
      </c>
      <c r="L5" s="7">
        <f t="shared" ca="1" si="2"/>
        <v>20</v>
      </c>
    </row>
    <row r="6" spans="1:34">
      <c r="A6">
        <v>-1</v>
      </c>
      <c r="B6">
        <v>0</v>
      </c>
      <c r="D6">
        <f t="shared" si="3"/>
        <v>1</v>
      </c>
      <c r="E6">
        <f t="shared" si="3"/>
        <v>2</v>
      </c>
      <c r="G6">
        <f>VLOOKUP(A6&amp;B6,dxdyLookupTbl[],2,FALSE)</f>
        <v>6</v>
      </c>
      <c r="H6">
        <f t="shared" si="4"/>
        <v>6</v>
      </c>
      <c r="J6">
        <f t="shared" ca="1" si="0"/>
        <v>6</v>
      </c>
      <c r="K6">
        <f t="shared" ca="1" si="1"/>
        <v>2</v>
      </c>
      <c r="L6" s="7">
        <f t="shared" ca="1" si="2"/>
        <v>62</v>
      </c>
    </row>
    <row r="7" spans="1:34">
      <c r="A7">
        <v>0</v>
      </c>
      <c r="B7">
        <v>1</v>
      </c>
      <c r="D7">
        <f t="shared" si="3"/>
        <v>1</v>
      </c>
      <c r="E7">
        <f t="shared" si="3"/>
        <v>3</v>
      </c>
      <c r="G7">
        <f>VLOOKUP(A7&amp;B7,dxdyLookupTbl[],2,FALSE)</f>
        <v>0</v>
      </c>
      <c r="H7">
        <f t="shared" si="4"/>
        <v>2</v>
      </c>
      <c r="J7">
        <f t="shared" ca="1" si="0"/>
        <v>6</v>
      </c>
      <c r="K7">
        <f t="shared" ca="1" si="1"/>
        <v>1</v>
      </c>
      <c r="L7" s="7">
        <f t="shared" ca="1" si="2"/>
        <v>61</v>
      </c>
    </row>
    <row r="8" spans="1:34">
      <c r="A8">
        <v>-1</v>
      </c>
      <c r="B8">
        <v>0</v>
      </c>
      <c r="D8">
        <f t="shared" si="3"/>
        <v>0</v>
      </c>
      <c r="E8">
        <f t="shared" si="3"/>
        <v>3</v>
      </c>
      <c r="G8">
        <f>VLOOKUP(A8&amp;B8,dxdyLookupTbl[],2,FALSE)</f>
        <v>6</v>
      </c>
      <c r="H8">
        <f t="shared" si="4"/>
        <v>6</v>
      </c>
      <c r="J8">
        <f t="shared" ca="1" si="0"/>
        <v>7</v>
      </c>
      <c r="K8">
        <f t="shared" ca="1" si="1"/>
        <v>0</v>
      </c>
      <c r="L8" s="7">
        <f t="shared" ca="1" si="2"/>
        <v>70</v>
      </c>
    </row>
    <row r="9" spans="1:34">
      <c r="A9">
        <v>0</v>
      </c>
      <c r="B9">
        <v>-1</v>
      </c>
      <c r="D9">
        <f t="shared" si="3"/>
        <v>0</v>
      </c>
      <c r="E9">
        <f t="shared" si="3"/>
        <v>2</v>
      </c>
      <c r="G9">
        <f>VLOOKUP(A9&amp;B9,dxdyLookupTbl[],2,FALSE)</f>
        <v>4</v>
      </c>
      <c r="H9">
        <f t="shared" si="4"/>
        <v>6</v>
      </c>
      <c r="J9">
        <f t="shared" ca="1" si="0"/>
        <v>2</v>
      </c>
      <c r="K9">
        <f t="shared" ca="1" si="1"/>
        <v>6</v>
      </c>
      <c r="L9" s="7">
        <f t="shared" ca="1" si="2"/>
        <v>26</v>
      </c>
    </row>
    <row r="10" spans="1:34">
      <c r="A10">
        <v>-1</v>
      </c>
      <c r="B10">
        <v>0</v>
      </c>
      <c r="D10">
        <f t="shared" si="3"/>
        <v>-1</v>
      </c>
      <c r="E10">
        <f t="shared" si="3"/>
        <v>2</v>
      </c>
      <c r="G10">
        <f>VLOOKUP(A10&amp;B10,dxdyLookupTbl[],2,FALSE)</f>
        <v>6</v>
      </c>
      <c r="H10">
        <f t="shared" si="4"/>
        <v>2</v>
      </c>
      <c r="J10">
        <f t="shared" ca="1" si="0"/>
        <v>6</v>
      </c>
      <c r="K10">
        <f t="shared" ca="1" si="1"/>
        <v>2</v>
      </c>
      <c r="L10" s="7">
        <f t="shared" ca="1" si="2"/>
        <v>62</v>
      </c>
    </row>
    <row r="11" spans="1:34">
      <c r="A11">
        <v>-1</v>
      </c>
      <c r="B11">
        <v>0</v>
      </c>
      <c r="D11">
        <f t="shared" si="3"/>
        <v>-2</v>
      </c>
      <c r="E11">
        <f t="shared" si="3"/>
        <v>2</v>
      </c>
      <c r="G11">
        <f>VLOOKUP(A11&amp;B11,dxdyLookupTbl[],2,FALSE)</f>
        <v>6</v>
      </c>
      <c r="H11">
        <f t="shared" si="4"/>
        <v>0</v>
      </c>
      <c r="J11">
        <f t="shared" ca="1" si="0"/>
        <v>2</v>
      </c>
      <c r="K11">
        <f t="shared" ca="1" si="1"/>
        <v>5</v>
      </c>
      <c r="L11" s="7">
        <f t="shared" ca="1" si="2"/>
        <v>25</v>
      </c>
    </row>
    <row r="12" spans="1:34">
      <c r="A12">
        <v>0</v>
      </c>
      <c r="B12">
        <v>-1</v>
      </c>
      <c r="D12">
        <f t="shared" si="3"/>
        <v>-2</v>
      </c>
      <c r="E12">
        <f t="shared" si="3"/>
        <v>1</v>
      </c>
      <c r="G12">
        <f>VLOOKUP(A12&amp;B12,dxdyLookupTbl[],2,FALSE)</f>
        <v>4</v>
      </c>
      <c r="H12">
        <f t="shared" si="4"/>
        <v>6</v>
      </c>
      <c r="J12">
        <f t="shared" ca="1" si="0"/>
        <v>7</v>
      </c>
      <c r="K12">
        <f t="shared" ca="1" si="1"/>
        <v>0</v>
      </c>
      <c r="L12" s="7">
        <f t="shared" ca="1" si="2"/>
        <v>70</v>
      </c>
    </row>
    <row r="13" spans="1:34">
      <c r="A13">
        <v>-1</v>
      </c>
      <c r="B13">
        <v>0</v>
      </c>
      <c r="D13">
        <f t="shared" si="3"/>
        <v>-3</v>
      </c>
      <c r="E13">
        <f t="shared" si="3"/>
        <v>1</v>
      </c>
      <c r="G13">
        <f>VLOOKUP(A13&amp;B13,dxdyLookupTbl[],2,FALSE)</f>
        <v>6</v>
      </c>
      <c r="H13">
        <f t="shared" si="4"/>
        <v>2</v>
      </c>
      <c r="J13">
        <f t="shared" ca="1" si="0"/>
        <v>6</v>
      </c>
      <c r="K13">
        <f t="shared" ca="1" si="1"/>
        <v>2</v>
      </c>
      <c r="L13" s="7">
        <f t="shared" ca="1" si="2"/>
        <v>62</v>
      </c>
    </row>
    <row r="14" spans="1:34">
      <c r="A14">
        <v>0</v>
      </c>
      <c r="B14">
        <v>-1</v>
      </c>
      <c r="D14">
        <f t="shared" si="3"/>
        <v>-3</v>
      </c>
      <c r="E14">
        <f t="shared" si="3"/>
        <v>0</v>
      </c>
      <c r="G14">
        <f>VLOOKUP(A14&amp;B14,dxdyLookupTbl[],2,FALSE)</f>
        <v>4</v>
      </c>
      <c r="H14">
        <f t="shared" si="4"/>
        <v>6</v>
      </c>
      <c r="J14">
        <f t="shared" ca="1" si="0"/>
        <v>0</v>
      </c>
      <c r="K14">
        <f t="shared" ca="1" si="1"/>
        <v>6</v>
      </c>
      <c r="L14" s="7">
        <f t="shared" ca="1" si="2"/>
        <v>6</v>
      </c>
    </row>
    <row r="15" spans="1:34">
      <c r="A15">
        <v>-1</v>
      </c>
      <c r="B15">
        <v>-1</v>
      </c>
      <c r="D15">
        <f t="shared" si="3"/>
        <v>-4</v>
      </c>
      <c r="E15">
        <f t="shared" si="3"/>
        <v>-1</v>
      </c>
      <c r="G15">
        <f>VLOOKUP(A15&amp;B15,dxdyLookupTbl[],2,FALSE)</f>
        <v>5</v>
      </c>
      <c r="H15">
        <f t="shared" si="4"/>
        <v>1</v>
      </c>
      <c r="J15">
        <f t="shared" ca="1" si="0"/>
        <v>1</v>
      </c>
      <c r="K15">
        <f t="shared" ca="1" si="1"/>
        <v>4</v>
      </c>
      <c r="L15" s="7">
        <f t="shared" ca="1" si="2"/>
        <v>14</v>
      </c>
    </row>
    <row r="16" spans="1:34">
      <c r="A16">
        <v>0</v>
      </c>
      <c r="B16">
        <v>-1</v>
      </c>
      <c r="D16">
        <f t="shared" si="3"/>
        <v>-4</v>
      </c>
      <c r="E16">
        <f t="shared" si="3"/>
        <v>-2</v>
      </c>
      <c r="G16">
        <f>VLOOKUP(A16&amp;B16,dxdyLookupTbl[],2,FALSE)</f>
        <v>4</v>
      </c>
      <c r="H16">
        <f t="shared" si="4"/>
        <v>7</v>
      </c>
      <c r="J16">
        <f t="shared" ca="1" si="0"/>
        <v>7</v>
      </c>
      <c r="K16">
        <f t="shared" ca="1" si="1"/>
        <v>2</v>
      </c>
      <c r="L16" s="7">
        <f t="shared" ca="1" si="2"/>
        <v>72</v>
      </c>
    </row>
    <row r="17" spans="1:12">
      <c r="A17">
        <v>0</v>
      </c>
      <c r="B17">
        <v>-1</v>
      </c>
      <c r="D17">
        <f t="shared" si="3"/>
        <v>-4</v>
      </c>
      <c r="E17">
        <f t="shared" si="3"/>
        <v>-3</v>
      </c>
      <c r="G17">
        <f>VLOOKUP(A17&amp;B17,dxdyLookupTbl[],2,FALSE)</f>
        <v>4</v>
      </c>
      <c r="H17">
        <f t="shared" si="4"/>
        <v>0</v>
      </c>
      <c r="J17">
        <f t="shared" ca="1" si="0"/>
        <v>6</v>
      </c>
      <c r="K17">
        <f t="shared" ca="1" si="1"/>
        <v>0</v>
      </c>
      <c r="L17" s="7">
        <f t="shared" ca="1" si="2"/>
        <v>60</v>
      </c>
    </row>
    <row r="18" spans="1:12">
      <c r="A18">
        <v>-1</v>
      </c>
      <c r="B18">
        <v>0</v>
      </c>
      <c r="D18">
        <f t="shared" si="3"/>
        <v>-5</v>
      </c>
      <c r="E18">
        <f t="shared" si="3"/>
        <v>-3</v>
      </c>
      <c r="G18">
        <f>VLOOKUP(A18&amp;B18,dxdyLookupTbl[],2,FALSE)</f>
        <v>6</v>
      </c>
      <c r="H18">
        <f t="shared" si="4"/>
        <v>2</v>
      </c>
      <c r="J18">
        <f t="shared" ca="1" si="0"/>
        <v>1</v>
      </c>
      <c r="K18">
        <f t="shared" ca="1" si="1"/>
        <v>0</v>
      </c>
      <c r="L18" s="7">
        <f t="shared" ca="1" si="2"/>
        <v>10</v>
      </c>
    </row>
    <row r="19" spans="1:12">
      <c r="A19">
        <v>0</v>
      </c>
      <c r="B19">
        <v>-1</v>
      </c>
      <c r="D19">
        <f t="shared" si="3"/>
        <v>-5</v>
      </c>
      <c r="E19">
        <f t="shared" si="3"/>
        <v>-4</v>
      </c>
      <c r="G19">
        <f>VLOOKUP(A19&amp;B19,dxdyLookupTbl[],2,FALSE)</f>
        <v>4</v>
      </c>
      <c r="H19">
        <f t="shared" si="4"/>
        <v>6</v>
      </c>
    </row>
    <row r="20" spans="1:12">
      <c r="A20">
        <v>1</v>
      </c>
      <c r="B20">
        <v>0</v>
      </c>
      <c r="D20">
        <f t="shared" ref="D20:E35" si="5">D19+A20</f>
        <v>-4</v>
      </c>
      <c r="E20">
        <f t="shared" si="5"/>
        <v>-4</v>
      </c>
      <c r="G20">
        <f>VLOOKUP(A20&amp;B20,dxdyLookupTbl[],2,FALSE)</f>
        <v>2</v>
      </c>
      <c r="H20">
        <f t="shared" si="4"/>
        <v>6</v>
      </c>
    </row>
    <row r="21" spans="1:12">
      <c r="A21">
        <v>0</v>
      </c>
      <c r="B21">
        <v>-1</v>
      </c>
      <c r="D21">
        <f t="shared" si="5"/>
        <v>-4</v>
      </c>
      <c r="E21">
        <f t="shared" si="5"/>
        <v>-5</v>
      </c>
      <c r="G21">
        <f>VLOOKUP(A21&amp;B21,dxdyLookupTbl[],2,FALSE)</f>
        <v>4</v>
      </c>
      <c r="H21">
        <f t="shared" si="4"/>
        <v>2</v>
      </c>
    </row>
    <row r="22" spans="1:12">
      <c r="A22">
        <v>-1</v>
      </c>
      <c r="B22">
        <v>0</v>
      </c>
      <c r="D22">
        <f t="shared" si="5"/>
        <v>-5</v>
      </c>
      <c r="E22">
        <f t="shared" si="5"/>
        <v>-5</v>
      </c>
      <c r="G22">
        <f>VLOOKUP(A22&amp;B22,dxdyLookupTbl[],2,FALSE)</f>
        <v>6</v>
      </c>
      <c r="H22">
        <f t="shared" si="4"/>
        <v>2</v>
      </c>
    </row>
    <row r="23" spans="1:12">
      <c r="A23">
        <v>1</v>
      </c>
      <c r="B23">
        <v>-1</v>
      </c>
      <c r="D23">
        <f t="shared" si="5"/>
        <v>-4</v>
      </c>
      <c r="E23">
        <f t="shared" si="5"/>
        <v>-6</v>
      </c>
      <c r="G23">
        <f>VLOOKUP(A23&amp;B23,dxdyLookupTbl[],2,FALSE)</f>
        <v>3</v>
      </c>
      <c r="H23">
        <f t="shared" si="4"/>
        <v>5</v>
      </c>
    </row>
    <row r="24" spans="1:12">
      <c r="A24">
        <v>1</v>
      </c>
      <c r="B24">
        <v>0</v>
      </c>
      <c r="D24">
        <f t="shared" si="5"/>
        <v>-3</v>
      </c>
      <c r="E24">
        <f t="shared" si="5"/>
        <v>-6</v>
      </c>
      <c r="G24">
        <f>VLOOKUP(A24&amp;B24,dxdyLookupTbl[],2,FALSE)</f>
        <v>2</v>
      </c>
      <c r="H24">
        <f t="shared" si="4"/>
        <v>7</v>
      </c>
    </row>
    <row r="25" spans="1:12">
      <c r="A25">
        <v>1</v>
      </c>
      <c r="B25">
        <v>0</v>
      </c>
      <c r="D25">
        <f t="shared" si="5"/>
        <v>-2</v>
      </c>
      <c r="E25">
        <f t="shared" si="5"/>
        <v>-6</v>
      </c>
      <c r="G25">
        <f>VLOOKUP(A25&amp;B25,dxdyLookupTbl[],2,FALSE)</f>
        <v>2</v>
      </c>
      <c r="H25">
        <f t="shared" si="4"/>
        <v>0</v>
      </c>
    </row>
    <row r="26" spans="1:12">
      <c r="A26">
        <v>0</v>
      </c>
      <c r="B26">
        <v>1</v>
      </c>
      <c r="D26">
        <f t="shared" si="5"/>
        <v>-2</v>
      </c>
      <c r="E26">
        <f t="shared" si="5"/>
        <v>-5</v>
      </c>
      <c r="G26">
        <f>VLOOKUP(A26&amp;B26,dxdyLookupTbl[],2,FALSE)</f>
        <v>0</v>
      </c>
      <c r="H26">
        <f t="shared" si="4"/>
        <v>6</v>
      </c>
    </row>
    <row r="27" spans="1:12">
      <c r="A27">
        <v>1</v>
      </c>
      <c r="B27">
        <v>0</v>
      </c>
      <c r="D27">
        <f t="shared" si="5"/>
        <v>-1</v>
      </c>
      <c r="E27">
        <f t="shared" si="5"/>
        <v>-5</v>
      </c>
      <c r="G27">
        <f>VLOOKUP(A27&amp;B27,dxdyLookupTbl[],2,FALSE)</f>
        <v>2</v>
      </c>
      <c r="H27">
        <f t="shared" si="4"/>
        <v>2</v>
      </c>
    </row>
    <row r="28" spans="1:12">
      <c r="A28">
        <v>1</v>
      </c>
      <c r="B28">
        <v>0</v>
      </c>
      <c r="D28">
        <f t="shared" si="5"/>
        <v>0</v>
      </c>
      <c r="E28">
        <f t="shared" si="5"/>
        <v>-5</v>
      </c>
      <c r="G28">
        <f>VLOOKUP(A28&amp;B28,dxdyLookupTbl[],2,FALSE)</f>
        <v>2</v>
      </c>
      <c r="H28">
        <f t="shared" si="4"/>
        <v>0</v>
      </c>
    </row>
    <row r="29" spans="1:12">
      <c r="A29">
        <v>0</v>
      </c>
      <c r="B29">
        <v>1</v>
      </c>
      <c r="D29">
        <f t="shared" si="5"/>
        <v>0</v>
      </c>
      <c r="E29">
        <f t="shared" si="5"/>
        <v>-4</v>
      </c>
      <c r="G29">
        <f>VLOOKUP(A29&amp;B29,dxdyLookupTbl[],2,FALSE)</f>
        <v>0</v>
      </c>
      <c r="H29">
        <f t="shared" si="4"/>
        <v>6</v>
      </c>
    </row>
    <row r="30" spans="1:12">
      <c r="A30">
        <v>1</v>
      </c>
      <c r="B30">
        <v>1</v>
      </c>
      <c r="D30">
        <f t="shared" si="5"/>
        <v>1</v>
      </c>
      <c r="E30">
        <f t="shared" si="5"/>
        <v>-3</v>
      </c>
      <c r="G30">
        <f>VLOOKUP(A30&amp;B30,dxdyLookupTbl[],2,FALSE)</f>
        <v>1</v>
      </c>
      <c r="H30">
        <f t="shared" si="4"/>
        <v>1</v>
      </c>
    </row>
    <row r="31" spans="1:12">
      <c r="A31">
        <v>-1</v>
      </c>
      <c r="B31">
        <v>-1</v>
      </c>
      <c r="D31">
        <f t="shared" si="5"/>
        <v>0</v>
      </c>
      <c r="E31">
        <f t="shared" si="5"/>
        <v>-4</v>
      </c>
      <c r="G31">
        <f>VLOOKUP(A31&amp;B31,dxdyLookupTbl[],2,FALSE)</f>
        <v>5</v>
      </c>
      <c r="H31">
        <f t="shared" si="4"/>
        <v>4</v>
      </c>
    </row>
    <row r="32" spans="1:12">
      <c r="A32">
        <v>0</v>
      </c>
      <c r="B32">
        <v>-1</v>
      </c>
      <c r="D32">
        <f t="shared" si="5"/>
        <v>0</v>
      </c>
      <c r="E32">
        <f t="shared" si="5"/>
        <v>-5</v>
      </c>
      <c r="G32">
        <f>VLOOKUP(A32&amp;B32,dxdyLookupTbl[],2,FALSE)</f>
        <v>4</v>
      </c>
      <c r="H32">
        <f t="shared" si="4"/>
        <v>7</v>
      </c>
    </row>
    <row r="33" spans="1:26">
      <c r="A33">
        <v>-1</v>
      </c>
      <c r="B33">
        <v>0</v>
      </c>
      <c r="D33">
        <f t="shared" si="5"/>
        <v>-1</v>
      </c>
      <c r="E33">
        <f t="shared" si="5"/>
        <v>-5</v>
      </c>
      <c r="G33">
        <f>VLOOKUP(A33&amp;B33,dxdyLookupTbl[],2,FALSE)</f>
        <v>6</v>
      </c>
      <c r="H33">
        <f t="shared" si="4"/>
        <v>2</v>
      </c>
    </row>
    <row r="34" spans="1:26">
      <c r="A34">
        <v>0</v>
      </c>
      <c r="B34">
        <v>-1</v>
      </c>
      <c r="D34">
        <f t="shared" si="5"/>
        <v>-1</v>
      </c>
      <c r="E34">
        <f t="shared" si="5"/>
        <v>-6</v>
      </c>
      <c r="G34">
        <f>VLOOKUP(A34&amp;B34,dxdyLookupTbl[],2,FALSE)</f>
        <v>4</v>
      </c>
      <c r="H34">
        <f t="shared" si="4"/>
        <v>6</v>
      </c>
    </row>
    <row r="35" spans="1:26">
      <c r="A35">
        <v>0</v>
      </c>
      <c r="B35">
        <v>-1</v>
      </c>
      <c r="D35">
        <f t="shared" si="5"/>
        <v>-1</v>
      </c>
      <c r="E35">
        <f t="shared" si="5"/>
        <v>-7</v>
      </c>
      <c r="G35">
        <f>VLOOKUP(A35&amp;B35,dxdyLookupTbl[],2,FALSE)</f>
        <v>4</v>
      </c>
      <c r="H35">
        <f t="shared" si="4"/>
        <v>0</v>
      </c>
    </row>
    <row r="36" spans="1:26">
      <c r="A36">
        <v>-1</v>
      </c>
      <c r="B36">
        <v>-1</v>
      </c>
      <c r="D36">
        <f t="shared" ref="D36:E37" si="6">D35+A36</f>
        <v>-2</v>
      </c>
      <c r="E36">
        <f t="shared" si="6"/>
        <v>-8</v>
      </c>
      <c r="G36">
        <f>VLOOKUP(A36&amp;B36,dxdyLookupTbl[],2,FALSE)</f>
        <v>5</v>
      </c>
      <c r="H36">
        <f t="shared" si="4"/>
        <v>1</v>
      </c>
    </row>
    <row r="37" spans="1:26">
      <c r="A37">
        <v>-1</v>
      </c>
      <c r="B37">
        <v>-1</v>
      </c>
      <c r="D37">
        <f t="shared" si="6"/>
        <v>-3</v>
      </c>
      <c r="E37">
        <f t="shared" si="6"/>
        <v>-9</v>
      </c>
      <c r="G37">
        <f>VLOOKUP(A37&amp;B37,dxdyLookupTbl[],2,FALSE)</f>
        <v>5</v>
      </c>
      <c r="H37">
        <f t="shared" si="4"/>
        <v>0</v>
      </c>
    </row>
    <row r="38" spans="1:26">
      <c r="J38" s="5" t="s">
        <v>20</v>
      </c>
      <c r="L38"/>
    </row>
    <row r="39" spans="1:26">
      <c r="J39">
        <v>26</v>
      </c>
      <c r="K39">
        <v>62</v>
      </c>
      <c r="L39">
        <v>66</v>
      </c>
      <c r="M39">
        <v>20</v>
      </c>
      <c r="N39" s="7">
        <v>62</v>
      </c>
      <c r="O39" s="7">
        <v>61</v>
      </c>
      <c r="P39" s="7">
        <v>70</v>
      </c>
      <c r="Q39" s="7">
        <v>26</v>
      </c>
      <c r="R39" s="7">
        <v>62</v>
      </c>
      <c r="S39" s="7">
        <v>25</v>
      </c>
      <c r="T39" s="7">
        <v>70</v>
      </c>
      <c r="U39" s="7">
        <v>62</v>
      </c>
      <c r="V39" s="7">
        <v>6</v>
      </c>
      <c r="W39" s="7">
        <v>14</v>
      </c>
      <c r="X39" s="7">
        <v>72</v>
      </c>
      <c r="Y39" s="7">
        <v>60</v>
      </c>
      <c r="Z39" s="7">
        <v>10</v>
      </c>
    </row>
  </sheetData>
  <dataValidations count="1">
    <dataValidation type="list" allowBlank="1" showInputMessage="1" showErrorMessage="1" sqref="A2:B100">
      <formula1>dropVals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H9"/>
  <sheetViews>
    <sheetView workbookViewId="0">
      <selection activeCell="H2" sqref="H2:H4"/>
    </sheetView>
  </sheetViews>
  <sheetFormatPr defaultRowHeight="15"/>
  <cols>
    <col min="1" max="1" width="10.7109375" style="1" customWidth="1"/>
    <col min="2" max="3" width="9.140625" style="1"/>
  </cols>
  <sheetData>
    <row r="1" spans="1:8">
      <c r="A1" s="1" t="s">
        <v>1</v>
      </c>
      <c r="B1" s="1" t="s">
        <v>2</v>
      </c>
      <c r="C1" s="1" t="s">
        <v>3</v>
      </c>
      <c r="E1" s="1" t="s">
        <v>11</v>
      </c>
      <c r="F1" s="1" t="s">
        <v>1</v>
      </c>
    </row>
    <row r="2" spans="1:8">
      <c r="A2" s="1">
        <v>0</v>
      </c>
      <c r="B2" s="1">
        <v>0</v>
      </c>
      <c r="C2" s="1">
        <v>1</v>
      </c>
      <c r="E2" s="3" t="s">
        <v>12</v>
      </c>
      <c r="F2" s="1">
        <v>0</v>
      </c>
      <c r="H2">
        <v>1</v>
      </c>
    </row>
    <row r="3" spans="1:8">
      <c r="A3" s="1">
        <v>1</v>
      </c>
      <c r="B3" s="1">
        <v>1</v>
      </c>
      <c r="C3" s="1">
        <v>1</v>
      </c>
      <c r="E3" s="3" t="s">
        <v>17</v>
      </c>
      <c r="F3" s="1">
        <v>1</v>
      </c>
      <c r="H3">
        <v>0</v>
      </c>
    </row>
    <row r="4" spans="1:8">
      <c r="A4" s="1">
        <v>2</v>
      </c>
      <c r="B4" s="1">
        <v>1</v>
      </c>
      <c r="C4" s="1">
        <v>0</v>
      </c>
      <c r="E4" s="3" t="s">
        <v>18</v>
      </c>
      <c r="F4" s="1">
        <v>2</v>
      </c>
      <c r="H4">
        <v>-1</v>
      </c>
    </row>
    <row r="5" spans="1:8">
      <c r="A5" s="1">
        <v>3</v>
      </c>
      <c r="B5" s="1">
        <v>1</v>
      </c>
      <c r="C5" s="1">
        <v>-1</v>
      </c>
      <c r="E5" s="4" t="s">
        <v>13</v>
      </c>
      <c r="F5" s="1">
        <v>3</v>
      </c>
    </row>
    <row r="6" spans="1:8">
      <c r="A6" s="1">
        <v>4</v>
      </c>
      <c r="B6" s="1">
        <v>0</v>
      </c>
      <c r="C6" s="1">
        <v>-1</v>
      </c>
      <c r="E6" s="3" t="s">
        <v>14</v>
      </c>
      <c r="F6" s="1">
        <v>4</v>
      </c>
    </row>
    <row r="7" spans="1:8">
      <c r="A7" s="1">
        <v>5</v>
      </c>
      <c r="B7" s="1">
        <v>-1</v>
      </c>
      <c r="C7" s="1">
        <v>-1</v>
      </c>
      <c r="E7" s="3" t="s">
        <v>15</v>
      </c>
      <c r="F7" s="1">
        <v>5</v>
      </c>
    </row>
    <row r="8" spans="1:8">
      <c r="A8" s="1">
        <v>6</v>
      </c>
      <c r="B8" s="1">
        <v>-1</v>
      </c>
      <c r="C8" s="1">
        <v>0</v>
      </c>
      <c r="E8" s="3" t="s">
        <v>16</v>
      </c>
      <c r="F8" s="1">
        <v>6</v>
      </c>
    </row>
    <row r="9" spans="1:8">
      <c r="A9" s="1">
        <v>7</v>
      </c>
      <c r="B9" s="1">
        <v>-1</v>
      </c>
      <c r="C9" s="1">
        <v>1</v>
      </c>
      <c r="E9" s="3" t="s">
        <v>19</v>
      </c>
      <c r="F9" s="1">
        <v>7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decode</vt:lpstr>
      <vt:lpstr>encode</vt:lpstr>
      <vt:lpstr>LUT</vt:lpstr>
      <vt:lpstr>dropVals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Griever</dc:creator>
  <cp:lastModifiedBy>Griever</cp:lastModifiedBy>
  <dcterms:created xsi:type="dcterms:W3CDTF">2017-02-23T08:41:37Z</dcterms:created>
  <dcterms:modified xsi:type="dcterms:W3CDTF">2017-02-24T03:58:47Z</dcterms:modified>
</cp:coreProperties>
</file>